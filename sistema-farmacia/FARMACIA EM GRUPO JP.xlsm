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55489\Downloads\"/>
    </mc:Choice>
  </mc:AlternateContent>
  <xr:revisionPtr revIDLastSave="0" documentId="13_ncr:1_{16232770-1B38-49E8-8B40-B68D6E4B3C80}" xr6:coauthVersionLast="47" xr6:coauthVersionMax="47" xr10:uidLastSave="{00000000-0000-0000-0000-000000000000}"/>
  <bookViews>
    <workbookView xWindow="-120" yWindow="-120" windowWidth="20730" windowHeight="11160" activeTab="4" xr2:uid="{00000000-000D-0000-FFFF-FFFF00000000}"/>
  </bookViews>
  <sheets>
    <sheet name="Config" sheetId="4" r:id="rId1"/>
    <sheet name="CONFIGCLIENTES" sheetId="5" r:id="rId2"/>
    <sheet name="CLIENTES" sheetId="1" r:id="rId3"/>
    <sheet name="PRODUTOS" sheetId="2" r:id="rId4"/>
    <sheet name="VENDAS" sheetId="3" r:id="rId5"/>
  </sheets>
  <definedNames>
    <definedName name="_xleta.TODAY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8" i="3" l="1"/>
  <c r="N57" i="3"/>
  <c r="N56" i="3"/>
  <c r="N55" i="3"/>
  <c r="N54" i="3"/>
  <c r="N53" i="3"/>
  <c r="N52" i="3"/>
  <c r="N51" i="3"/>
  <c r="G8" i="2"/>
  <c r="N50" i="3"/>
  <c r="N49" i="3"/>
  <c r="N48" i="3"/>
  <c r="N47" i="3"/>
  <c r="N46" i="3"/>
  <c r="N45" i="3"/>
  <c r="N44" i="3"/>
  <c r="N43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G2" i="2"/>
  <c r="G3" i="2"/>
  <c r="G4" i="2"/>
  <c r="G5" i="2"/>
  <c r="G6" i="2"/>
  <c r="G7" i="2"/>
  <c r="G9" i="2"/>
  <c r="G10" i="2"/>
  <c r="G11" i="2"/>
  <c r="G12" i="2"/>
  <c r="G13" i="2"/>
  <c r="J1" i="1"/>
  <c r="G2" i="3" l="1"/>
  <c r="N2" i="3" s="1"/>
</calcChain>
</file>

<file path=xl/sharedStrings.xml><?xml version="1.0" encoding="utf-8"?>
<sst xmlns="http://schemas.openxmlformats.org/spreadsheetml/2006/main" count="308" uniqueCount="117">
  <si>
    <t>CPF</t>
  </si>
  <si>
    <t>CÓDIGO CLIENTE</t>
  </si>
  <si>
    <t>NOME</t>
  </si>
  <si>
    <t>DATA DE NASCIMENTO</t>
  </si>
  <si>
    <t>TELEFONE</t>
  </si>
  <si>
    <t>ENDEREÇO</t>
  </si>
  <si>
    <t>JOSE DE ALMEIDA</t>
  </si>
  <si>
    <t>(48) 99999-9999</t>
  </si>
  <si>
    <t>RUA DAS FLORES, 4001</t>
  </si>
  <si>
    <t>MARCOS DOS SANTOS</t>
  </si>
  <si>
    <t>3222-4556</t>
  </si>
  <si>
    <t>RUA B</t>
  </si>
  <si>
    <t>SAMANTA MEDEIROS</t>
  </si>
  <si>
    <t>RUA DAS ROSAS, 4002</t>
  </si>
  <si>
    <t>MARIA JOSE</t>
  </si>
  <si>
    <t>RUA DAS CAMELIAS</t>
  </si>
  <si>
    <t>FELIPE SOUZA</t>
  </si>
  <si>
    <t>RUA AMARAL</t>
  </si>
  <si>
    <t>SARA MARTINS</t>
  </si>
  <si>
    <t>5125-4326</t>
  </si>
  <si>
    <t>RUA DOS MONTES</t>
  </si>
  <si>
    <t>MARTA FERREIRA</t>
  </si>
  <si>
    <t>TRAVESSA SANTA CRUZ</t>
  </si>
  <si>
    <t>PRISCILA MARTINS</t>
  </si>
  <si>
    <t>RUA WALDEMAR</t>
  </si>
  <si>
    <t xml:space="preserve">MARIA DAS DORES </t>
  </si>
  <si>
    <t>98869-6868</t>
  </si>
  <si>
    <t>RUA ONZE</t>
  </si>
  <si>
    <t>FLORA DOS SANTOS</t>
  </si>
  <si>
    <t>RUA ABREU</t>
  </si>
  <si>
    <t>JOAO FERREIRA</t>
  </si>
  <si>
    <t>RUA DEZ DE ABRIL</t>
  </si>
  <si>
    <t>CÓDIGO PRODUTO</t>
  </si>
  <si>
    <t>DESCRIÇÃO</t>
  </si>
  <si>
    <t>VALOR UNITÁRIO</t>
  </si>
  <si>
    <t>FORNECEDOR</t>
  </si>
  <si>
    <t>QUANTIDADE</t>
  </si>
  <si>
    <t>DIPIRONA</t>
  </si>
  <si>
    <t>ASI</t>
  </si>
  <si>
    <t>ANADOR</t>
  </si>
  <si>
    <t>R$ 7,00</t>
  </si>
  <si>
    <t>AIA</t>
  </si>
  <si>
    <t>PARACETAMOL</t>
  </si>
  <si>
    <t>RAT</t>
  </si>
  <si>
    <t>DIPIRONA 1G</t>
  </si>
  <si>
    <t>TYLENOL</t>
  </si>
  <si>
    <t>R$ 8,00</t>
  </si>
  <si>
    <t>AV</t>
  </si>
  <si>
    <t>NEBULIZADOR</t>
  </si>
  <si>
    <t>R$ 300,00</t>
  </si>
  <si>
    <t>INALADOR</t>
  </si>
  <si>
    <t>R$ 150,00</t>
  </si>
  <si>
    <t>ALIVIUM</t>
  </si>
  <si>
    <t>R$ 14,00</t>
  </si>
  <si>
    <t>IMED</t>
  </si>
  <si>
    <t>LORATADINA</t>
  </si>
  <si>
    <t>R$ 11,00</t>
  </si>
  <si>
    <t>OLL</t>
  </si>
  <si>
    <t>TERMOMETRO</t>
  </si>
  <si>
    <t>R$ 29,00</t>
  </si>
  <si>
    <t>CORT</t>
  </si>
  <si>
    <t>CÓDIGO VENDA</t>
  </si>
  <si>
    <t>CÓDIGO CLIENTE2</t>
  </si>
  <si>
    <t>VALOR TOTAL</t>
  </si>
  <si>
    <t>R$ 88,00</t>
  </si>
  <si>
    <t>R$ 70,00</t>
  </si>
  <si>
    <t>R$ 5,00</t>
  </si>
  <si>
    <t>R$ 15,00</t>
  </si>
  <si>
    <t>R$ 1.050,00</t>
  </si>
  <si>
    <t>R$ 20,00</t>
  </si>
  <si>
    <t>R$ 60,00</t>
  </si>
  <si>
    <t>R$ 600,00</t>
  </si>
  <si>
    <t>R$ 24,00</t>
  </si>
  <si>
    <t>SOFIA DOS SANTOS</t>
  </si>
  <si>
    <t>20-04-2015</t>
  </si>
  <si>
    <t>RUAUAUAUAUUA</t>
  </si>
  <si>
    <t>15-04-2015</t>
  </si>
  <si>
    <t>05-09-2017</t>
  </si>
  <si>
    <t>24-05-2000</t>
  </si>
  <si>
    <t>14-04-2004</t>
  </si>
  <si>
    <t>14-07-1998</t>
  </si>
  <si>
    <t>20-02-1988</t>
  </si>
  <si>
    <t>29-02-1984</t>
  </si>
  <si>
    <t>20-05-2003</t>
  </si>
  <si>
    <t>20-04-2012</t>
  </si>
  <si>
    <t>01-01-2001</t>
  </si>
  <si>
    <t>01-01-2002</t>
  </si>
  <si>
    <t>R$ 10,00</t>
  </si>
  <si>
    <t>DATA VENDA</t>
  </si>
  <si>
    <t>DATA VCTO</t>
  </si>
  <si>
    <t>DESODORANTE MASC 200ML</t>
  </si>
  <si>
    <t>NIVEA</t>
  </si>
  <si>
    <t>15-11-2033</t>
  </si>
  <si>
    <t>SITUAÇÃO</t>
  </si>
  <si>
    <t>DESODORANTE FEM</t>
  </si>
  <si>
    <t>R$ 19,90</t>
  </si>
  <si>
    <t>13-02-2027</t>
  </si>
  <si>
    <t>R$ 22,00</t>
  </si>
  <si>
    <t>CÓDIGO PRODUTO2</t>
  </si>
  <si>
    <t>VALOR UNITÁRIO PRODUTO2</t>
  </si>
  <si>
    <t>R$ 80,00</t>
  </si>
  <si>
    <t>R$ 180,00</t>
  </si>
  <si>
    <t>R$ 44,00</t>
  </si>
  <si>
    <t>R$ 40,00</t>
  </si>
  <si>
    <t>R$ 3,00</t>
  </si>
  <si>
    <t>R$ 6,00</t>
  </si>
  <si>
    <t>R$ 58,00</t>
  </si>
  <si>
    <t>R$ 28,00</t>
  </si>
  <si>
    <t>VALOR TOTAL VENDA</t>
  </si>
  <si>
    <t>R$ 9,00</t>
  </si>
  <si>
    <t>R$ 39,80</t>
  </si>
  <si>
    <t>QUANTIDADE PRODUTO2</t>
  </si>
  <si>
    <t>DESCRIÇÃO PRODUTO2</t>
  </si>
  <si>
    <t>ONE</t>
  </si>
  <si>
    <t>DUO</t>
  </si>
  <si>
    <t>VALOR UNITÁRIO PRODUTO 2</t>
  </si>
  <si>
    <t>R$ 1.800,00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</si>
</sst>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R$&quot;* #,##0.00_);_(&quot;R$&quot;* \(#,##0.00\);_(&quot;R$&quot;* &quot;-&quot;??_);_(@_)"/>
    <numFmt numFmtId="165" formatCode="[&lt;=9999999]###\-####;\(###\)\ ###\-####"/>
    <numFmt numFmtId="166" formatCode="&quot;R$&quot;\ #,##0.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001D35"/>
      <name val="Courier New"/>
      <family val="3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9"/>
        <bgColor theme="9"/>
      </patternFill>
    </fill>
  </fills>
  <borders count="2">
    <border>
      <left/>
      <right/>
      <top/>
      <bottom/>
      <diagonal/>
    </border>
    <border>
      <left/>
      <right/>
      <top/>
      <bottom style="medium">
        <color theme="0"/>
      </bottom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24">
    <xf numFmtId="0" fontId="0" fillId="0" borderId="0" xfId="0"/>
    <xf numFmtId="165" fontId="0" fillId="0" borderId="0" xfId="0" applyNumberFormat="1"/>
    <xf numFmtId="166" fontId="0" fillId="0" borderId="0" xfId="0" applyNumberFormat="1"/>
    <xf numFmtId="0" fontId="0" fillId="0" borderId="0" xfId="0" applyAlignment="1">
      <alignment horizontal="right"/>
    </xf>
    <xf numFmtId="166" fontId="0" fillId="0" borderId="0" xfId="1" applyNumberFormat="1" applyFont="1" applyAlignment="1">
      <alignment horizontal="right"/>
    </xf>
    <xf numFmtId="1" fontId="0" fillId="0" borderId="0" xfId="0" applyNumberFormat="1" applyAlignment="1">
      <alignment horizontal="right"/>
    </xf>
    <xf numFmtId="165" fontId="0" fillId="0" borderId="0" xfId="0" applyNumberFormat="1" applyAlignment="1">
      <alignment horizontal="right"/>
    </xf>
    <xf numFmtId="49" fontId="0" fillId="0" borderId="0" xfId="0" applyNumberFormat="1"/>
    <xf numFmtId="49" fontId="0" fillId="0" borderId="0" xfId="0" applyNumberFormat="1" applyAlignment="1">
      <alignment horizontal="right"/>
    </xf>
    <xf numFmtId="166" fontId="2" fillId="0" borderId="0" xfId="1" applyNumberFormat="1" applyFont="1" applyAlignment="1">
      <alignment horizontal="right"/>
    </xf>
    <xf numFmtId="164" fontId="0" fillId="0" borderId="0" xfId="1" applyFont="1" applyAlignment="1">
      <alignment horizontal="right"/>
    </xf>
    <xf numFmtId="164" fontId="2" fillId="0" borderId="0" xfId="1" applyFont="1" applyAlignment="1">
      <alignment horizontal="right"/>
    </xf>
    <xf numFmtId="166" fontId="0" fillId="0" borderId="0" xfId="0" applyNumberFormat="1" applyAlignment="1">
      <alignment horizontal="right"/>
    </xf>
    <xf numFmtId="0" fontId="5" fillId="3" borderId="0" xfId="0" applyFont="1" applyFill="1" applyAlignment="1">
      <alignment horizontal="right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4" fillId="2" borderId="1" xfId="0" applyFont="1" applyFill="1" applyBorder="1" applyAlignment="1">
      <alignment horizontal="center"/>
    </xf>
    <xf numFmtId="166" fontId="0" fillId="0" borderId="0" xfId="0" applyNumberFormat="1" applyAlignment="1">
      <alignment horizontal="center"/>
    </xf>
    <xf numFmtId="0" fontId="6" fillId="0" borderId="0" xfId="0" applyFont="1"/>
    <xf numFmtId="164" fontId="1" fillId="0" borderId="0" xfId="1" applyFont="1" applyAlignment="1">
      <alignment horizontal="right"/>
    </xf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right"/>
    </xf>
    <xf numFmtId="14" fontId="0" fillId="0" borderId="0" xfId="0" applyNumberFormat="1"/>
  </cellXfs>
  <cellStyles count="2">
    <cellStyle name="Moeda" xfId="1" builtinId="4"/>
    <cellStyle name="Normal" xfId="0" builtinId="0"/>
  </cellStyles>
  <dxfs count="33">
    <dxf>
      <numFmt numFmtId="166" formatCode="&quot;R$&quot;\ #,##0.0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numFmt numFmtId="166" formatCode="&quot;R$&quot;\ #,##0.0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R$&quot;\ #,##0.0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5" formatCode="[&lt;=9999999]###\-####;\(###\)\ ###\-####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2" displayName="Tabela2" ref="A1:F13" totalsRowShown="0" headerRowDxfId="32" dataDxfId="31">
  <autoFilter ref="A1:F13" xr:uid="{00000000-0009-0000-0100-000002000000}"/>
  <tableColumns count="6">
    <tableColumn id="1" xr3:uid="{00000000-0010-0000-0000-000001000000}" name="CPF" dataDxfId="30"/>
    <tableColumn id="3" xr3:uid="{00000000-0010-0000-0000-000003000000}" name="CÓDIGO CLIENTE" dataDxfId="29"/>
    <tableColumn id="2" xr3:uid="{00000000-0010-0000-0000-000002000000}" name="NOME" dataDxfId="28"/>
    <tableColumn id="4" xr3:uid="{00000000-0010-0000-0000-000004000000}" name="DATA DE NASCIMENTO" dataDxfId="27"/>
    <tableColumn id="5" xr3:uid="{00000000-0010-0000-0000-000005000000}" name="TELEFONE" dataDxfId="26"/>
    <tableColumn id="6" xr3:uid="{00000000-0010-0000-0000-000006000000}" name="ENDEREÇO" dataDxfId="25"/>
  </tableColumns>
  <tableStyleInfo name="TableStyleDark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ela3" displayName="Tabela3" ref="A1:G13" totalsRowShown="0" headerRowDxfId="24" dataDxfId="23">
  <autoFilter ref="A1:G13" xr:uid="{00000000-0009-0000-0100-000003000000}"/>
  <tableColumns count="7">
    <tableColumn id="1" xr3:uid="{00000000-0010-0000-0100-000001000000}" name="CÓDIGO PRODUTO" dataDxfId="22"/>
    <tableColumn id="2" xr3:uid="{00000000-0010-0000-0100-000002000000}" name="DESCRIÇÃO" dataDxfId="21"/>
    <tableColumn id="3" xr3:uid="{00000000-0010-0000-0100-000003000000}" name="VALOR UNITÁRIO" dataDxfId="20" dataCellStyle="Moeda"/>
    <tableColumn id="4" xr3:uid="{00000000-0010-0000-0100-000004000000}" name="FORNECEDOR" dataDxfId="19"/>
    <tableColumn id="5" xr3:uid="{43CD7900-3E7D-4B40-87C0-3A83DF283746}" name="QUANTIDADE" dataDxfId="18"/>
    <tableColumn id="7" xr3:uid="{1D63D26A-8CB8-4BEA-8AAA-BCE65E657B99}" name="DATA VCTO" dataDxfId="17"/>
    <tableColumn id="6" xr3:uid="{00000000-0010-0000-0100-000006000000}" name="SITUAÇÃO" dataDxfId="16">
      <calculatedColumnFormula>IF(AND(Tabela3[[#This Row],[DATA VCTO]]&gt;=TODAY(), Tabela3[[#This Row],[QUANTIDADE]]&gt;0),"DISPONIVEL","INDISPONIVEL")</calculatedColumnFormula>
    </tableColumn>
  </tableColumns>
  <tableStyleInfo name="TableStyleDark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ela1" displayName="Tabela1" ref="A1:N58" totalsRowShown="0" headerRowDxfId="15" dataDxfId="14">
  <autoFilter ref="A1:N58" xr:uid="{00000000-0009-0000-0100-000001000000}"/>
  <tableColumns count="14">
    <tableColumn id="2" xr3:uid="{00000000-0010-0000-0200-000002000000}" name="CÓDIGO VENDA" dataDxfId="13"/>
    <tableColumn id="1" xr3:uid="{00000000-0010-0000-0200-000001000000}" name="CÓDIGO CLIENTE2" dataDxfId="12"/>
    <tableColumn id="3" xr3:uid="{00000000-0010-0000-0200-000003000000}" name="CÓDIGO PRODUTO" dataDxfId="11"/>
    <tableColumn id="4" xr3:uid="{00000000-0010-0000-0200-000004000000}" name="DESCRIÇÃO" dataDxfId="10"/>
    <tableColumn id="5" xr3:uid="{00000000-0010-0000-0200-000005000000}" name="VALOR UNITÁRIO" dataDxfId="9" dataCellStyle="Moeda"/>
    <tableColumn id="6" xr3:uid="{00000000-0010-0000-0200-000006000000}" name="QUANTIDADE" dataDxfId="8"/>
    <tableColumn id="8" xr3:uid="{A2E842B6-1433-405B-8FE3-285C1347FB80}" name="VALOR TOTAL" dataDxfId="7"/>
    <tableColumn id="7" xr3:uid="{00000000-0010-0000-0200-000007000000}" name="DATA VENDA" dataDxfId="6"/>
    <tableColumn id="9" xr3:uid="{D5B44B25-62AE-4669-AE69-AE8CD00B3D85}" name="CÓDIGO PRODUTO2" dataDxfId="5"/>
    <tableColumn id="10" xr3:uid="{F76BAB73-96B0-49B2-9746-18B8D1976C3D}" name="DESCRIÇÃO PRODUTO2" dataDxfId="4"/>
    <tableColumn id="11" xr3:uid="{75404402-13B2-4B0A-9A35-FCBEB611CF61}" name="VALOR UNITÁRIO PRODUTO2" dataDxfId="3"/>
    <tableColumn id="12" xr3:uid="{4394FD43-068E-4A0A-8AD5-8D6BDCB70239}" name="QUANTIDADE PRODUTO2" dataDxfId="2"/>
    <tableColumn id="14" xr3:uid="{8CFCBADC-0A5D-4916-AA1A-66D048782FD8}" name="VALOR UNITÁRIO PRODUTO 2" dataDxfId="1"/>
    <tableColumn id="13" xr3:uid="{E99C2DF4-5233-4BE0-A965-18DBCBC990CA}" name="VALOR TOTAL VENDA" dataDxfId="0">
      <calculatedColumnFormula>Tabela1[[#This Row],[VALOR TOTAL]]+Tabela1[[#This Row],[VALOR UNITÁRIO PRODUTO 2]]</calculatedColumnFormula>
    </tableColumn>
  </tableColumns>
  <tableStyleInfo name="TableStyleDark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4"/>
  <dimension ref="A1"/>
  <sheetViews>
    <sheetView workbookViewId="0">
      <selection activeCell="A2" sqref="A2"/>
    </sheetView>
  </sheetViews>
  <sheetFormatPr defaultRowHeight="15" x14ac:dyDescent="0.25"/>
  <sheetData>
    <row r="1" spans="1:1" x14ac:dyDescent="0.25">
      <c r="A1">
        <v>1107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5"/>
  <dimension ref="A1"/>
  <sheetViews>
    <sheetView workbookViewId="0">
      <selection activeCell="A2" sqref="A2"/>
    </sheetView>
  </sheetViews>
  <sheetFormatPr defaultRowHeight="15" x14ac:dyDescent="0.25"/>
  <sheetData>
    <row r="1" spans="1:1" x14ac:dyDescent="0.25">
      <c r="A1">
        <v>1012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"/>
  <dimension ref="A1:J13"/>
  <sheetViews>
    <sheetView zoomScale="145" zoomScaleNormal="145" workbookViewId="0">
      <selection activeCell="A2" sqref="A2"/>
    </sheetView>
  </sheetViews>
  <sheetFormatPr defaultRowHeight="15" x14ac:dyDescent="0.25"/>
  <cols>
    <col min="1" max="2" width="16.28515625" customWidth="1"/>
    <col min="3" max="3" width="28" customWidth="1"/>
    <col min="4" max="4" width="23.85546875" style="7" bestFit="1" customWidth="1"/>
    <col min="5" max="5" width="16.140625" style="1" customWidth="1"/>
    <col min="6" max="6" width="20.85546875" bestFit="1" customWidth="1"/>
    <col min="10" max="10" width="2.28515625" customWidth="1"/>
  </cols>
  <sheetData>
    <row r="1" spans="1:10" s="14" customFormat="1" ht="18.75" x14ac:dyDescent="0.3">
      <c r="A1" s="14" t="s">
        <v>0</v>
      </c>
      <c r="B1" s="14" t="s">
        <v>1</v>
      </c>
      <c r="C1" s="14" t="s">
        <v>2</v>
      </c>
      <c r="D1" s="15" t="s">
        <v>3</v>
      </c>
      <c r="E1" s="16" t="s">
        <v>4</v>
      </c>
      <c r="F1" s="14" t="s">
        <v>5</v>
      </c>
      <c r="J1" s="19">
        <f ca="1">OFFSET(A1,COUNTA(A:A)-1,0,1,1)</f>
        <v>13</v>
      </c>
    </row>
    <row r="2" spans="1:10" x14ac:dyDescent="0.25">
      <c r="A2" s="3">
        <v>1</v>
      </c>
      <c r="B2" s="3">
        <v>1000</v>
      </c>
      <c r="C2" s="3" t="s">
        <v>6</v>
      </c>
      <c r="D2" s="8" t="s">
        <v>76</v>
      </c>
      <c r="E2" s="6" t="s">
        <v>7</v>
      </c>
      <c r="F2" s="3" t="s">
        <v>8</v>
      </c>
    </row>
    <row r="3" spans="1:10" x14ac:dyDescent="0.25">
      <c r="A3" s="3">
        <v>2</v>
      </c>
      <c r="B3" s="3">
        <v>1001</v>
      </c>
      <c r="C3" s="3" t="s">
        <v>9</v>
      </c>
      <c r="D3" s="8" t="s">
        <v>77</v>
      </c>
      <c r="E3" s="6" t="s">
        <v>10</v>
      </c>
      <c r="F3" s="3" t="s">
        <v>11</v>
      </c>
    </row>
    <row r="4" spans="1:10" x14ac:dyDescent="0.25">
      <c r="A4" s="3">
        <v>3</v>
      </c>
      <c r="B4" s="3">
        <v>1002</v>
      </c>
      <c r="C4" s="3" t="s">
        <v>12</v>
      </c>
      <c r="D4" s="8" t="s">
        <v>78</v>
      </c>
      <c r="E4" s="6">
        <v>4848484848</v>
      </c>
      <c r="F4" s="3" t="s">
        <v>13</v>
      </c>
    </row>
    <row r="5" spans="1:10" x14ac:dyDescent="0.25">
      <c r="A5" s="3">
        <v>4</v>
      </c>
      <c r="B5" s="3">
        <v>1003</v>
      </c>
      <c r="C5" s="3" t="s">
        <v>14</v>
      </c>
      <c r="D5" s="8" t="s">
        <v>79</v>
      </c>
      <c r="E5" s="6">
        <v>1515151515</v>
      </c>
      <c r="F5" s="3" t="s">
        <v>15</v>
      </c>
    </row>
    <row r="6" spans="1:10" x14ac:dyDescent="0.25">
      <c r="A6" s="3">
        <v>5</v>
      </c>
      <c r="B6" s="3">
        <v>1004</v>
      </c>
      <c r="C6" s="3" t="s">
        <v>16</v>
      </c>
      <c r="D6" s="8" t="s">
        <v>80</v>
      </c>
      <c r="E6" s="6">
        <v>1010101010</v>
      </c>
      <c r="F6" s="3" t="s">
        <v>17</v>
      </c>
    </row>
    <row r="7" spans="1:10" x14ac:dyDescent="0.25">
      <c r="A7" s="3">
        <v>7</v>
      </c>
      <c r="B7" s="3">
        <v>1005</v>
      </c>
      <c r="C7" s="3" t="s">
        <v>18</v>
      </c>
      <c r="D7" s="8" t="s">
        <v>81</v>
      </c>
      <c r="E7" s="6" t="s">
        <v>19</v>
      </c>
      <c r="F7" s="3" t="s">
        <v>20</v>
      </c>
    </row>
    <row r="8" spans="1:10" x14ac:dyDescent="0.25">
      <c r="A8" s="3">
        <v>8</v>
      </c>
      <c r="B8" s="3">
        <v>1006</v>
      </c>
      <c r="C8" s="3" t="s">
        <v>21</v>
      </c>
      <c r="D8" s="8" t="s">
        <v>82</v>
      </c>
      <c r="E8" s="6">
        <v>484874</v>
      </c>
      <c r="F8" s="3" t="s">
        <v>22</v>
      </c>
    </row>
    <row r="9" spans="1:10" x14ac:dyDescent="0.25">
      <c r="A9" s="3">
        <v>9</v>
      </c>
      <c r="B9" s="3">
        <v>1007</v>
      </c>
      <c r="C9" s="3" t="s">
        <v>23</v>
      </c>
      <c r="D9" s="8" t="s">
        <v>83</v>
      </c>
      <c r="E9" s="6">
        <v>2121212121</v>
      </c>
      <c r="F9" s="3" t="s">
        <v>24</v>
      </c>
    </row>
    <row r="10" spans="1:10" x14ac:dyDescent="0.25">
      <c r="A10" s="3">
        <v>10</v>
      </c>
      <c r="B10" s="3">
        <v>1008</v>
      </c>
      <c r="C10" s="3" t="s">
        <v>25</v>
      </c>
      <c r="D10" s="8" t="s">
        <v>84</v>
      </c>
      <c r="E10" s="6" t="s">
        <v>26</v>
      </c>
      <c r="F10" s="3" t="s">
        <v>27</v>
      </c>
    </row>
    <row r="11" spans="1:10" x14ac:dyDescent="0.25">
      <c r="A11" s="3">
        <v>11</v>
      </c>
      <c r="B11" s="3">
        <v>1009</v>
      </c>
      <c r="C11" s="3" t="s">
        <v>28</v>
      </c>
      <c r="D11" s="8" t="s">
        <v>85</v>
      </c>
      <c r="E11" s="6">
        <v>14988185858</v>
      </c>
      <c r="F11" s="3" t="s">
        <v>29</v>
      </c>
    </row>
    <row r="12" spans="1:10" x14ac:dyDescent="0.25">
      <c r="A12" s="3">
        <v>12</v>
      </c>
      <c r="B12" s="3">
        <v>1010</v>
      </c>
      <c r="C12" s="3" t="s">
        <v>30</v>
      </c>
      <c r="D12" s="8" t="s">
        <v>86</v>
      </c>
      <c r="E12" s="6">
        <v>4848484848</v>
      </c>
      <c r="F12" s="3" t="s">
        <v>31</v>
      </c>
    </row>
    <row r="13" spans="1:10" x14ac:dyDescent="0.25">
      <c r="A13" s="3">
        <v>13</v>
      </c>
      <c r="B13" s="3">
        <v>1011</v>
      </c>
      <c r="C13" s="3" t="s">
        <v>73</v>
      </c>
      <c r="D13" s="8" t="s">
        <v>74</v>
      </c>
      <c r="E13" s="6">
        <v>488998888888</v>
      </c>
      <c r="F13" s="3" t="s">
        <v>75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/>
  <dimension ref="A1:G13"/>
  <sheetViews>
    <sheetView zoomScale="130" zoomScaleNormal="130" workbookViewId="0">
      <selection activeCell="A7" sqref="A7"/>
    </sheetView>
  </sheetViews>
  <sheetFormatPr defaultRowHeight="15" x14ac:dyDescent="0.25"/>
  <cols>
    <col min="1" max="1" width="18.85546875" customWidth="1"/>
    <col min="2" max="2" width="26.42578125" bestFit="1" customWidth="1"/>
    <col min="3" max="3" width="17.42578125" style="2" customWidth="1"/>
    <col min="4" max="6" width="14.140625" customWidth="1"/>
    <col min="7" max="7" width="14.140625" style="23" customWidth="1"/>
  </cols>
  <sheetData>
    <row r="1" spans="1:7" s="14" customFormat="1" x14ac:dyDescent="0.25">
      <c r="A1" s="14" t="s">
        <v>32</v>
      </c>
      <c r="B1" s="14" t="s">
        <v>33</v>
      </c>
      <c r="C1" s="18" t="s">
        <v>34</v>
      </c>
      <c r="D1" s="14" t="s">
        <v>35</v>
      </c>
      <c r="E1" s="14" t="s">
        <v>36</v>
      </c>
      <c r="F1" s="21" t="s">
        <v>89</v>
      </c>
      <c r="G1" s="21" t="s">
        <v>93</v>
      </c>
    </row>
    <row r="2" spans="1:7" x14ac:dyDescent="0.25">
      <c r="A2" s="3">
        <v>1</v>
      </c>
      <c r="B2" s="3" t="s">
        <v>37</v>
      </c>
      <c r="C2" s="4">
        <v>3</v>
      </c>
      <c r="D2" s="3" t="s">
        <v>38</v>
      </c>
      <c r="E2" s="5">
        <v>300</v>
      </c>
      <c r="F2" s="22">
        <v>48898</v>
      </c>
      <c r="G2" s="22" t="str">
        <f ca="1">IF(AND(Tabela3[[#This Row],[DATA VCTO]]&gt;=TODAY(), Tabela3[[#This Row],[QUANTIDADE]]&gt;0),"DISPONIVEL","INDISPONIVEL")</f>
        <v>DISPONIVEL</v>
      </c>
    </row>
    <row r="3" spans="1:7" x14ac:dyDescent="0.25">
      <c r="A3" s="3">
        <v>2</v>
      </c>
      <c r="B3" s="3" t="s">
        <v>39</v>
      </c>
      <c r="C3" s="9" t="s">
        <v>40</v>
      </c>
      <c r="D3" s="3" t="s">
        <v>41</v>
      </c>
      <c r="E3" s="5">
        <v>50</v>
      </c>
      <c r="F3" s="22">
        <v>45807</v>
      </c>
      <c r="G3" s="22" t="str">
        <f ca="1">IF(AND(Tabela3[[#This Row],[DATA VCTO]]&gt;=TODAY(), Tabela3[[#This Row],[QUANTIDADE]]&gt;0),"DISPONIVEL","INDISPONIVEL")</f>
        <v>INDISPONIVEL</v>
      </c>
    </row>
    <row r="4" spans="1:7" x14ac:dyDescent="0.25">
      <c r="A4" s="3">
        <v>3</v>
      </c>
      <c r="B4" s="3" t="s">
        <v>42</v>
      </c>
      <c r="C4" s="9">
        <v>5</v>
      </c>
      <c r="D4" s="3" t="s">
        <v>43</v>
      </c>
      <c r="E4" s="5">
        <v>10</v>
      </c>
      <c r="F4" s="22">
        <v>48898</v>
      </c>
      <c r="G4" s="22" t="str">
        <f ca="1">IF(AND(Tabela3[[#This Row],[DATA VCTO]]&gt;=TODAY(), Tabela3[[#This Row],[QUANTIDADE]]&gt;0),"DISPONIVEL","INDISPONIVEL")</f>
        <v>DISPONIVEL</v>
      </c>
    </row>
    <row r="5" spans="1:7" x14ac:dyDescent="0.25">
      <c r="A5" s="3">
        <v>4</v>
      </c>
      <c r="B5" s="3" t="s">
        <v>44</v>
      </c>
      <c r="C5" s="9" t="s">
        <v>69</v>
      </c>
      <c r="D5" s="3" t="s">
        <v>113</v>
      </c>
      <c r="E5" s="5">
        <v>50</v>
      </c>
      <c r="F5" s="22">
        <v>48898</v>
      </c>
      <c r="G5" s="22" t="str">
        <f ca="1">IF(AND(Tabela3[[#This Row],[DATA VCTO]]&gt;=TODAY(), Tabela3[[#This Row],[QUANTIDADE]]&gt;0),"DISPONIVEL","INDISPONIVEL")</f>
        <v>DISPONIVEL</v>
      </c>
    </row>
    <row r="6" spans="1:7" x14ac:dyDescent="0.25">
      <c r="A6" s="3">
        <v>5</v>
      </c>
      <c r="B6" s="3" t="s">
        <v>45</v>
      </c>
      <c r="C6" s="9" t="s">
        <v>46</v>
      </c>
      <c r="D6" s="3" t="s">
        <v>47</v>
      </c>
      <c r="E6" s="5">
        <v>30</v>
      </c>
      <c r="F6" s="22">
        <v>48898</v>
      </c>
      <c r="G6" s="22" t="str">
        <f ca="1">IF(AND(Tabela3[[#This Row],[DATA VCTO]]&gt;=TODAY(), Tabela3[[#This Row],[QUANTIDADE]]&gt;0),"DISPONIVEL","INDISPONIVEL")</f>
        <v>DISPONIVEL</v>
      </c>
    </row>
    <row r="7" spans="1:7" x14ac:dyDescent="0.25">
      <c r="A7" s="3">
        <v>6</v>
      </c>
      <c r="B7" s="3" t="s">
        <v>48</v>
      </c>
      <c r="C7" s="9" t="s">
        <v>49</v>
      </c>
      <c r="D7" s="3" t="s">
        <v>114</v>
      </c>
      <c r="E7" s="5">
        <v>500</v>
      </c>
      <c r="F7" s="22">
        <v>48898</v>
      </c>
      <c r="G7" s="22" t="str">
        <f ca="1">IF(AND(Tabela3[[#This Row],[DATA VCTO]]&gt;=TODAY(), Tabela3[[#This Row],[QUANTIDADE]]&gt;0),"DISPONIVEL","INDISPONIVEL")</f>
        <v>DISPONIVEL</v>
      </c>
    </row>
    <row r="8" spans="1:7" x14ac:dyDescent="0.25">
      <c r="A8" s="3">
        <v>7</v>
      </c>
      <c r="B8" s="3" t="s">
        <v>50</v>
      </c>
      <c r="C8" s="9">
        <v>150</v>
      </c>
      <c r="D8" s="3" t="s">
        <v>38</v>
      </c>
      <c r="E8" s="5">
        <v>70</v>
      </c>
      <c r="F8" s="22">
        <v>4</v>
      </c>
      <c r="G8" s="22" t="str">
        <f ca="1">IF(AND(Tabela3[[#This Row],[DATA VCTO]]&gt;=TODAY(), Tabela3[[#This Row],[QUANTIDADE]]&gt;0),"DISPONIVEL","INDISPONIVEL")</f>
        <v>INDISPONIVEL</v>
      </c>
    </row>
    <row r="9" spans="1:7" x14ac:dyDescent="0.25">
      <c r="A9" s="3">
        <v>8</v>
      </c>
      <c r="B9" s="3" t="s">
        <v>52</v>
      </c>
      <c r="C9" s="9" t="s">
        <v>53</v>
      </c>
      <c r="D9" s="3" t="s">
        <v>54</v>
      </c>
      <c r="E9" s="5">
        <v>15</v>
      </c>
      <c r="F9" s="22">
        <v>48349</v>
      </c>
      <c r="G9" s="22" t="str">
        <f ca="1">IF(AND(Tabela3[[#This Row],[DATA VCTO]]&gt;=TODAY(), Tabela3[[#This Row],[QUANTIDADE]]&gt;0),"DISPONIVEL","INDISPONIVEL")</f>
        <v>DISPONIVEL</v>
      </c>
    </row>
    <row r="10" spans="1:7" x14ac:dyDescent="0.25">
      <c r="A10" s="3">
        <v>9</v>
      </c>
      <c r="B10" s="3" t="s">
        <v>55</v>
      </c>
      <c r="C10" s="9" t="s">
        <v>56</v>
      </c>
      <c r="D10" s="3" t="s">
        <v>57</v>
      </c>
      <c r="E10" s="5">
        <v>5</v>
      </c>
      <c r="F10" s="22">
        <v>47201</v>
      </c>
      <c r="G10" s="22" t="str">
        <f ca="1">IF(AND(Tabela3[[#This Row],[DATA VCTO]]&gt;=TODAY(), Tabela3[[#This Row],[QUANTIDADE]]&gt;0),"DISPONIVEL","INDISPONIVEL")</f>
        <v>DISPONIVEL</v>
      </c>
    </row>
    <row r="11" spans="1:7" x14ac:dyDescent="0.25">
      <c r="A11" s="3">
        <v>10</v>
      </c>
      <c r="B11" s="3" t="s">
        <v>58</v>
      </c>
      <c r="C11" s="9" t="s">
        <v>59</v>
      </c>
      <c r="D11" s="3" t="s">
        <v>60</v>
      </c>
      <c r="E11" s="5">
        <v>10</v>
      </c>
      <c r="F11" s="22">
        <v>46832</v>
      </c>
      <c r="G11" s="22" t="str">
        <f ca="1">IF(AND(Tabela3[[#This Row],[DATA VCTO]]&gt;=TODAY(), Tabela3[[#This Row],[QUANTIDADE]]&gt;0),"DISPONIVEL","INDISPONIVEL")</f>
        <v>DISPONIVEL</v>
      </c>
    </row>
    <row r="12" spans="1:7" x14ac:dyDescent="0.25">
      <c r="A12" s="3">
        <v>11</v>
      </c>
      <c r="B12" s="3" t="s">
        <v>90</v>
      </c>
      <c r="C12" s="4" t="s">
        <v>69</v>
      </c>
      <c r="D12" s="3" t="s">
        <v>91</v>
      </c>
      <c r="E12" s="5">
        <v>50</v>
      </c>
      <c r="F12" s="22" t="s">
        <v>92</v>
      </c>
      <c r="G12" s="22" t="str">
        <f ca="1">IF(AND(Tabela3[[#This Row],[DATA VCTO]]&gt;=TODAY(), Tabela3[[#This Row],[QUANTIDADE]]&gt;0),"DISPONIVEL","INDISPONIVEL")</f>
        <v>DISPONIVEL</v>
      </c>
    </row>
    <row r="13" spans="1:7" x14ac:dyDescent="0.25">
      <c r="A13" s="3">
        <v>12</v>
      </c>
      <c r="B13" s="3" t="s">
        <v>94</v>
      </c>
      <c r="C13" s="4" t="s">
        <v>95</v>
      </c>
      <c r="D13" s="3" t="s">
        <v>91</v>
      </c>
      <c r="E13" s="5">
        <v>50</v>
      </c>
      <c r="F13" s="22" t="s">
        <v>96</v>
      </c>
      <c r="G13" s="22" t="str">
        <f ca="1">IF(AND(Tabela3[[#This Row],[DATA VCTO]]&gt;=TODAY(), Tabela3[[#This Row],[QUANTIDADE]]&gt;0),"DISPONIVEL","INDISPONIVEL")</f>
        <v>DISPONIVEL</v>
      </c>
    </row>
  </sheetData>
  <phoneticPr fontId="7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1:N58"/>
  <sheetViews>
    <sheetView tabSelected="1" topLeftCell="A48" zoomScale="130" zoomScaleNormal="130" workbookViewId="0">
      <selection activeCell="A58" sqref="A58"/>
    </sheetView>
  </sheetViews>
  <sheetFormatPr defaultRowHeight="15" x14ac:dyDescent="0.25"/>
  <cols>
    <col min="1" max="2" width="17" style="3" customWidth="1"/>
    <col min="3" max="3" width="18.85546875" style="3" customWidth="1"/>
    <col min="4" max="4" width="17.5703125" style="3" customWidth="1"/>
    <col min="5" max="5" width="17.42578125" style="3" customWidth="1"/>
    <col min="6" max="7" width="14.140625" style="3" customWidth="1"/>
    <col min="8" max="8" width="19.42578125" style="22" customWidth="1"/>
    <col min="9" max="9" width="23.42578125" bestFit="1" customWidth="1"/>
    <col min="10" max="10" width="26.42578125" bestFit="1" customWidth="1"/>
    <col min="11" max="11" width="22.140625" bestFit="1" customWidth="1"/>
    <col min="12" max="12" width="18.7109375" bestFit="1" customWidth="1"/>
    <col min="13" max="13" width="32.140625" bestFit="1" customWidth="1"/>
    <col min="14" max="14" width="18.7109375" bestFit="1" customWidth="1"/>
  </cols>
  <sheetData>
    <row r="1" spans="1:14" s="14" customFormat="1" ht="15.75" thickBot="1" x14ac:dyDescent="0.3">
      <c r="A1" s="17" t="s">
        <v>61</v>
      </c>
      <c r="B1" s="14" t="s">
        <v>62</v>
      </c>
      <c r="C1" s="14" t="s">
        <v>32</v>
      </c>
      <c r="D1" s="14" t="s">
        <v>33</v>
      </c>
      <c r="E1" s="14" t="s">
        <v>34</v>
      </c>
      <c r="F1" s="14" t="s">
        <v>36</v>
      </c>
      <c r="G1" s="18" t="s">
        <v>63</v>
      </c>
      <c r="H1" s="21" t="s">
        <v>88</v>
      </c>
      <c r="I1" s="14" t="s">
        <v>98</v>
      </c>
      <c r="J1" s="14" t="s">
        <v>112</v>
      </c>
      <c r="K1" s="14" t="s">
        <v>99</v>
      </c>
      <c r="L1" s="14" t="s">
        <v>111</v>
      </c>
      <c r="M1" s="18" t="s">
        <v>115</v>
      </c>
      <c r="N1" s="18" t="s">
        <v>108</v>
      </c>
    </row>
    <row r="2" spans="1:14" x14ac:dyDescent="0.25">
      <c r="A2" s="13">
        <v>1000</v>
      </c>
      <c r="B2" s="3">
        <v>1002</v>
      </c>
      <c r="C2" s="3">
        <v>2</v>
      </c>
      <c r="D2" s="3" t="s">
        <v>39</v>
      </c>
      <c r="E2" s="20">
        <v>7</v>
      </c>
      <c r="F2" s="3">
        <v>20</v>
      </c>
      <c r="G2" s="12">
        <f>E2*F2</f>
        <v>140</v>
      </c>
      <c r="H2" s="22">
        <v>45797</v>
      </c>
      <c r="I2" s="3"/>
      <c r="J2" s="3"/>
      <c r="K2" s="20"/>
      <c r="L2" s="3"/>
      <c r="M2" s="12"/>
      <c r="N2" s="12">
        <f>Tabela1[[#This Row],[VALOR TOTAL]]+Tabela1[[#This Row],[VALOR UNITÁRIO PRODUTO 2]]</f>
        <v>140</v>
      </c>
    </row>
    <row r="3" spans="1:14" x14ac:dyDescent="0.25">
      <c r="A3" s="3">
        <v>1001</v>
      </c>
      <c r="B3" s="3">
        <v>1005</v>
      </c>
      <c r="C3" s="3">
        <v>9</v>
      </c>
      <c r="D3" s="3" t="s">
        <v>55</v>
      </c>
      <c r="E3" s="11" t="s">
        <v>56</v>
      </c>
      <c r="F3" s="3">
        <v>8</v>
      </c>
      <c r="G3" s="12" t="s">
        <v>64</v>
      </c>
      <c r="H3" s="22">
        <v>45797</v>
      </c>
      <c r="I3" s="3"/>
      <c r="J3" s="3"/>
      <c r="K3" s="11"/>
      <c r="L3" s="3"/>
      <c r="M3" s="12"/>
      <c r="N3" s="12">
        <f>Tabela1[[#This Row],[VALOR TOTAL]]+Tabela1[[#This Row],[VALOR UNITÁRIO PRODUTO 2]]</f>
        <v>88</v>
      </c>
    </row>
    <row r="4" spans="1:14" x14ac:dyDescent="0.25">
      <c r="A4" s="3">
        <v>1002</v>
      </c>
      <c r="B4" s="3">
        <v>1004</v>
      </c>
      <c r="C4" s="3">
        <v>8</v>
      </c>
      <c r="D4" s="3" t="s">
        <v>52</v>
      </c>
      <c r="E4" s="11" t="s">
        <v>53</v>
      </c>
      <c r="F4" s="3">
        <v>5</v>
      </c>
      <c r="G4" s="12" t="s">
        <v>65</v>
      </c>
      <c r="H4" s="22">
        <v>45800</v>
      </c>
      <c r="I4" s="3"/>
      <c r="J4" s="3"/>
      <c r="K4" s="11"/>
      <c r="L4" s="3"/>
      <c r="M4" s="12"/>
      <c r="N4" s="12">
        <f>Tabela1[[#This Row],[VALOR TOTAL]]+Tabela1[[#This Row],[VALOR UNITÁRIO PRODUTO 2]]</f>
        <v>70</v>
      </c>
    </row>
    <row r="5" spans="1:14" x14ac:dyDescent="0.25">
      <c r="A5" s="3">
        <v>1003</v>
      </c>
      <c r="B5" s="3">
        <v>1006</v>
      </c>
      <c r="C5" s="3">
        <v>7</v>
      </c>
      <c r="D5" s="3" t="s">
        <v>50</v>
      </c>
      <c r="E5" s="11" t="s">
        <v>51</v>
      </c>
      <c r="F5" s="3">
        <v>1</v>
      </c>
      <c r="G5" s="12" t="s">
        <v>51</v>
      </c>
      <c r="H5" s="22">
        <v>45803</v>
      </c>
      <c r="I5" s="3"/>
      <c r="J5" s="3"/>
      <c r="K5" s="11"/>
      <c r="L5" s="3"/>
      <c r="M5" s="12"/>
      <c r="N5" s="12">
        <f>Tabela1[[#This Row],[VALOR TOTAL]]+Tabela1[[#This Row],[VALOR UNITÁRIO PRODUTO 2]]</f>
        <v>150</v>
      </c>
    </row>
    <row r="6" spans="1:14" x14ac:dyDescent="0.25">
      <c r="A6" s="3">
        <v>1004</v>
      </c>
      <c r="B6" s="3">
        <v>1004</v>
      </c>
      <c r="C6" s="3">
        <v>3</v>
      </c>
      <c r="D6" s="3" t="s">
        <v>42</v>
      </c>
      <c r="E6" s="11" t="s">
        <v>66</v>
      </c>
      <c r="F6" s="3">
        <v>3</v>
      </c>
      <c r="G6" s="12" t="s">
        <v>67</v>
      </c>
      <c r="H6" s="22">
        <v>45803</v>
      </c>
      <c r="I6" s="3"/>
      <c r="J6" s="3"/>
      <c r="K6" s="11"/>
      <c r="L6" s="3"/>
      <c r="M6" s="12"/>
      <c r="N6" s="12">
        <f>Tabela1[[#This Row],[VALOR TOTAL]]+Tabela1[[#This Row],[VALOR UNITÁRIO PRODUTO 2]]</f>
        <v>15</v>
      </c>
    </row>
    <row r="7" spans="1:14" x14ac:dyDescent="0.25">
      <c r="A7" s="3">
        <v>1011</v>
      </c>
      <c r="B7" s="3">
        <v>1004</v>
      </c>
      <c r="C7" s="3">
        <v>7</v>
      </c>
      <c r="D7" s="3" t="s">
        <v>50</v>
      </c>
      <c r="E7" s="11" t="s">
        <v>51</v>
      </c>
      <c r="F7" s="3">
        <v>7</v>
      </c>
      <c r="G7" s="12" t="s">
        <v>68</v>
      </c>
      <c r="H7" s="22">
        <v>45803</v>
      </c>
      <c r="I7" s="3"/>
      <c r="J7" s="3"/>
      <c r="K7" s="11"/>
      <c r="L7" s="3"/>
      <c r="M7" s="12"/>
      <c r="N7" s="12">
        <f>Tabela1[[#This Row],[VALOR TOTAL]]+Tabela1[[#This Row],[VALOR UNITÁRIO PRODUTO 2]]</f>
        <v>1050</v>
      </c>
    </row>
    <row r="8" spans="1:14" x14ac:dyDescent="0.25">
      <c r="A8" s="3">
        <v>1012</v>
      </c>
      <c r="B8" s="3">
        <v>1002</v>
      </c>
      <c r="C8" s="3">
        <v>4</v>
      </c>
      <c r="D8" s="3" t="s">
        <v>44</v>
      </c>
      <c r="E8" s="11" t="s">
        <v>69</v>
      </c>
      <c r="F8" s="3">
        <v>3</v>
      </c>
      <c r="G8" s="12" t="s">
        <v>70</v>
      </c>
      <c r="H8" s="22">
        <v>45804</v>
      </c>
      <c r="I8" s="3"/>
      <c r="J8" s="3"/>
      <c r="K8" s="11"/>
      <c r="L8" s="3"/>
      <c r="M8" s="12"/>
      <c r="N8" s="12">
        <f>Tabela1[[#This Row],[VALOR TOTAL]]+Tabela1[[#This Row],[VALOR UNITÁRIO PRODUTO 2]]</f>
        <v>60</v>
      </c>
    </row>
    <row r="9" spans="1:14" x14ac:dyDescent="0.25">
      <c r="A9" s="3">
        <v>1013</v>
      </c>
      <c r="B9" s="3">
        <v>1005</v>
      </c>
      <c r="C9" s="3">
        <v>6</v>
      </c>
      <c r="D9" s="3" t="s">
        <v>48</v>
      </c>
      <c r="E9" s="10" t="s">
        <v>49</v>
      </c>
      <c r="F9" s="3">
        <v>2</v>
      </c>
      <c r="G9" s="12" t="s">
        <v>71</v>
      </c>
      <c r="H9" s="22">
        <v>45804</v>
      </c>
      <c r="I9" s="3"/>
      <c r="J9" s="3"/>
      <c r="K9" s="10"/>
      <c r="L9" s="3"/>
      <c r="M9" s="12"/>
      <c r="N9" s="12">
        <f>Tabela1[[#This Row],[VALOR TOTAL]]+Tabela1[[#This Row],[VALOR UNITÁRIO PRODUTO 2]]</f>
        <v>600</v>
      </c>
    </row>
    <row r="10" spans="1:14" x14ac:dyDescent="0.25">
      <c r="A10" s="3">
        <v>1015</v>
      </c>
      <c r="B10" s="3">
        <v>1004</v>
      </c>
      <c r="C10" s="3">
        <v>5</v>
      </c>
      <c r="D10" s="3" t="s">
        <v>45</v>
      </c>
      <c r="E10" s="20" t="s">
        <v>46</v>
      </c>
      <c r="F10" s="3">
        <v>3</v>
      </c>
      <c r="G10" s="12" t="s">
        <v>72</v>
      </c>
      <c r="H10" s="22">
        <v>45805</v>
      </c>
      <c r="I10" s="3"/>
      <c r="J10" s="3"/>
      <c r="K10" s="20"/>
      <c r="L10" s="3"/>
      <c r="M10" s="12"/>
      <c r="N10" s="12">
        <f>Tabela1[[#This Row],[VALOR TOTAL]]+Tabela1[[#This Row],[VALOR UNITÁRIO PRODUTO 2]]</f>
        <v>24</v>
      </c>
    </row>
    <row r="11" spans="1:14" x14ac:dyDescent="0.25">
      <c r="A11" s="3">
        <v>1016</v>
      </c>
      <c r="B11" s="3">
        <v>1001</v>
      </c>
      <c r="C11" s="3">
        <v>3</v>
      </c>
      <c r="D11" s="3" t="s">
        <v>42</v>
      </c>
      <c r="E11" s="20" t="s">
        <v>66</v>
      </c>
      <c r="F11" s="3">
        <v>3</v>
      </c>
      <c r="G11" s="12" t="s">
        <v>67</v>
      </c>
      <c r="H11" s="22">
        <v>45805</v>
      </c>
      <c r="I11" s="3"/>
      <c r="J11" s="3"/>
      <c r="K11" s="20"/>
      <c r="L11" s="3"/>
      <c r="M11" s="12"/>
      <c r="N11" s="12">
        <f>Tabela1[[#This Row],[VALOR TOTAL]]+Tabela1[[#This Row],[VALOR UNITÁRIO PRODUTO 2]]</f>
        <v>15</v>
      </c>
    </row>
    <row r="12" spans="1:14" x14ac:dyDescent="0.25">
      <c r="A12" s="3">
        <v>1017</v>
      </c>
      <c r="B12" s="3">
        <v>1002</v>
      </c>
      <c r="C12" s="3">
        <v>2</v>
      </c>
      <c r="D12" s="3" t="s">
        <v>39</v>
      </c>
      <c r="E12" s="20" t="s">
        <v>40</v>
      </c>
      <c r="F12" s="3">
        <v>1</v>
      </c>
      <c r="G12" s="12" t="s">
        <v>40</v>
      </c>
      <c r="H12" s="22">
        <v>45809</v>
      </c>
      <c r="I12" s="3"/>
      <c r="J12" s="3"/>
      <c r="K12" s="20"/>
      <c r="L12" s="3"/>
      <c r="M12" s="12"/>
      <c r="N12" s="12">
        <f>Tabela1[[#This Row],[VALOR TOTAL]]+Tabela1[[#This Row],[VALOR UNITÁRIO PRODUTO 2]]</f>
        <v>7</v>
      </c>
    </row>
    <row r="13" spans="1:14" x14ac:dyDescent="0.25">
      <c r="A13" s="3">
        <v>1018</v>
      </c>
      <c r="B13" s="3">
        <v>1002</v>
      </c>
      <c r="C13" s="3">
        <v>3</v>
      </c>
      <c r="D13" s="3" t="s">
        <v>42</v>
      </c>
      <c r="E13" s="20" t="s">
        <v>66</v>
      </c>
      <c r="F13" s="3">
        <v>2</v>
      </c>
      <c r="G13" s="12" t="s">
        <v>87</v>
      </c>
      <c r="H13" s="22">
        <v>45809</v>
      </c>
      <c r="I13" s="3"/>
      <c r="J13" s="3"/>
      <c r="K13" s="20"/>
      <c r="L13" s="3"/>
      <c r="M13" s="12"/>
      <c r="N13" s="12">
        <f>Tabela1[[#This Row],[VALOR TOTAL]]+Tabela1[[#This Row],[VALOR UNITÁRIO PRODUTO 2]]</f>
        <v>10</v>
      </c>
    </row>
    <row r="14" spans="1:14" x14ac:dyDescent="0.25">
      <c r="A14" s="3">
        <v>1019</v>
      </c>
      <c r="B14" s="3">
        <v>1001</v>
      </c>
      <c r="C14" s="3">
        <v>4</v>
      </c>
      <c r="D14" s="3" t="s">
        <v>44</v>
      </c>
      <c r="E14" s="10" t="s">
        <v>69</v>
      </c>
      <c r="F14" s="3">
        <v>1</v>
      </c>
      <c r="G14" s="12" t="s">
        <v>69</v>
      </c>
      <c r="H14" s="22">
        <v>45809</v>
      </c>
      <c r="I14" s="3"/>
      <c r="J14" s="3"/>
      <c r="K14" s="10"/>
      <c r="L14" s="3"/>
      <c r="M14" s="12"/>
      <c r="N14" s="12">
        <f>Tabela1[[#This Row],[VALOR TOTAL]]+Tabela1[[#This Row],[VALOR UNITÁRIO PRODUTO 2]]</f>
        <v>20</v>
      </c>
    </row>
    <row r="15" spans="1:14" x14ac:dyDescent="0.25">
      <c r="A15" s="3">
        <v>1020</v>
      </c>
      <c r="B15" s="3">
        <v>1004</v>
      </c>
      <c r="C15" s="3">
        <v>9</v>
      </c>
      <c r="D15" s="3" t="s">
        <v>55</v>
      </c>
      <c r="E15" s="10" t="s">
        <v>56</v>
      </c>
      <c r="F15" s="3">
        <v>2</v>
      </c>
      <c r="G15" s="12" t="s">
        <v>97</v>
      </c>
      <c r="H15" s="22">
        <v>45809</v>
      </c>
      <c r="I15" s="3"/>
      <c r="J15" s="3"/>
      <c r="K15" s="10"/>
      <c r="L15" s="3"/>
      <c r="M15" s="12"/>
      <c r="N15" s="12">
        <f>Tabela1[[#This Row],[VALOR TOTAL]]+Tabela1[[#This Row],[VALOR UNITÁRIO PRODUTO 2]]</f>
        <v>22</v>
      </c>
    </row>
    <row r="16" spans="1:14" x14ac:dyDescent="0.25">
      <c r="A16" s="3">
        <v>1021</v>
      </c>
      <c r="B16" s="3">
        <v>1001</v>
      </c>
      <c r="C16" s="3">
        <v>4</v>
      </c>
      <c r="D16" s="3" t="s">
        <v>44</v>
      </c>
      <c r="E16" s="20" t="s">
        <v>69</v>
      </c>
      <c r="F16" s="3">
        <v>4</v>
      </c>
      <c r="G16" s="12" t="s">
        <v>100</v>
      </c>
      <c r="H16" s="22">
        <v>45809</v>
      </c>
      <c r="I16" s="3"/>
      <c r="J16" s="3"/>
      <c r="K16" s="3"/>
      <c r="L16" s="3"/>
      <c r="M16" s="3"/>
      <c r="N16" s="12">
        <f>Tabela1[[#This Row],[VALOR TOTAL]]+Tabela1[[#This Row],[VALOR UNITÁRIO PRODUTO 2]]</f>
        <v>80</v>
      </c>
    </row>
    <row r="17" spans="1:14" x14ac:dyDescent="0.25">
      <c r="A17" s="3">
        <v>1023</v>
      </c>
      <c r="B17" s="3">
        <v>1006</v>
      </c>
      <c r="C17" s="3">
        <v>7</v>
      </c>
      <c r="D17" s="3" t="s">
        <v>50</v>
      </c>
      <c r="E17" s="20" t="s">
        <v>51</v>
      </c>
      <c r="F17" s="3">
        <v>7</v>
      </c>
      <c r="G17" s="12" t="s">
        <v>68</v>
      </c>
      <c r="H17" s="22">
        <v>45809</v>
      </c>
      <c r="I17" s="3"/>
      <c r="J17" s="3"/>
      <c r="K17" s="3"/>
      <c r="L17" s="3"/>
      <c r="M17" s="3"/>
      <c r="N17" s="12">
        <f>Tabela1[[#This Row],[VALOR TOTAL]]+Tabela1[[#This Row],[VALOR UNITÁRIO PRODUTO 2]]</f>
        <v>1050</v>
      </c>
    </row>
    <row r="18" spans="1:14" x14ac:dyDescent="0.25">
      <c r="A18" s="3">
        <v>1024</v>
      </c>
      <c r="B18" s="3">
        <v>1007</v>
      </c>
      <c r="C18" s="3">
        <v>4</v>
      </c>
      <c r="D18" s="3" t="s">
        <v>44</v>
      </c>
      <c r="E18" s="20" t="s">
        <v>69</v>
      </c>
      <c r="F18" s="3">
        <v>9</v>
      </c>
      <c r="G18" s="12" t="s">
        <v>101</v>
      </c>
      <c r="H18" s="22">
        <v>45809</v>
      </c>
      <c r="I18" s="3"/>
      <c r="J18" s="3"/>
      <c r="K18" s="3"/>
      <c r="L18" s="3"/>
      <c r="M18" s="3"/>
      <c r="N18" s="12">
        <f>Tabela1[[#This Row],[VALOR TOTAL]]+Tabela1[[#This Row],[VALOR UNITÁRIO PRODUTO 2]]</f>
        <v>180</v>
      </c>
    </row>
    <row r="19" spans="1:14" x14ac:dyDescent="0.25">
      <c r="A19" s="3">
        <v>1025</v>
      </c>
      <c r="B19" s="3">
        <v>1000</v>
      </c>
      <c r="C19" s="3">
        <v>9</v>
      </c>
      <c r="D19" s="3" t="s">
        <v>55</v>
      </c>
      <c r="E19" s="20" t="s">
        <v>56</v>
      </c>
      <c r="F19" s="3">
        <v>4</v>
      </c>
      <c r="G19" s="12" t="s">
        <v>102</v>
      </c>
      <c r="H19" s="22">
        <v>45809</v>
      </c>
      <c r="I19" s="3"/>
      <c r="J19" s="3"/>
      <c r="K19" s="3"/>
      <c r="L19" s="3"/>
      <c r="M19" s="3"/>
      <c r="N19" s="12">
        <f>Tabela1[[#This Row],[VALOR TOTAL]]+Tabela1[[#This Row],[VALOR UNITÁRIO PRODUTO 2]]</f>
        <v>44</v>
      </c>
    </row>
    <row r="20" spans="1:14" x14ac:dyDescent="0.25">
      <c r="A20" s="3">
        <v>1027</v>
      </c>
      <c r="B20" s="3">
        <v>1007</v>
      </c>
      <c r="C20" s="3">
        <v>6</v>
      </c>
      <c r="D20" s="3" t="s">
        <v>48</v>
      </c>
      <c r="E20" s="20" t="s">
        <v>49</v>
      </c>
      <c r="F20" s="3">
        <v>2</v>
      </c>
      <c r="G20" s="12" t="s">
        <v>71</v>
      </c>
      <c r="H20" s="22">
        <v>45809</v>
      </c>
      <c r="I20" s="3"/>
      <c r="J20" s="3"/>
      <c r="K20" s="3"/>
      <c r="L20" s="3"/>
      <c r="M20" s="3"/>
      <c r="N20" s="12">
        <f>Tabela1[[#This Row],[VALOR TOTAL]]+Tabela1[[#This Row],[VALOR UNITÁRIO PRODUTO 2]]</f>
        <v>600</v>
      </c>
    </row>
    <row r="21" spans="1:14" x14ac:dyDescent="0.25">
      <c r="A21" s="3">
        <v>1029</v>
      </c>
      <c r="B21" s="3">
        <v>1005</v>
      </c>
      <c r="C21" s="3">
        <v>8</v>
      </c>
      <c r="D21" s="3" t="s">
        <v>52</v>
      </c>
      <c r="E21" s="20" t="s">
        <v>53</v>
      </c>
      <c r="F21" s="3">
        <v>1</v>
      </c>
      <c r="G21" s="12" t="s">
        <v>53</v>
      </c>
      <c r="H21" s="22">
        <v>45809</v>
      </c>
      <c r="I21" s="3"/>
      <c r="J21" s="3"/>
      <c r="K21" s="3"/>
      <c r="L21" s="3"/>
      <c r="M21" s="3"/>
      <c r="N21" s="12">
        <f>Tabela1[[#This Row],[VALOR TOTAL]]+Tabela1[[#This Row],[VALOR UNITÁRIO PRODUTO 2]]</f>
        <v>14</v>
      </c>
    </row>
    <row r="22" spans="1:14" x14ac:dyDescent="0.25">
      <c r="A22" s="3">
        <v>1030</v>
      </c>
      <c r="B22" s="3">
        <v>1003</v>
      </c>
      <c r="C22" s="3">
        <v>4</v>
      </c>
      <c r="D22" s="3" t="s">
        <v>44</v>
      </c>
      <c r="E22" s="20" t="s">
        <v>69</v>
      </c>
      <c r="F22" s="3">
        <v>1</v>
      </c>
      <c r="G22" s="12" t="s">
        <v>69</v>
      </c>
      <c r="H22" s="22">
        <v>45809</v>
      </c>
      <c r="I22" s="3"/>
      <c r="J22" s="3"/>
      <c r="K22" s="3"/>
      <c r="L22" s="3"/>
      <c r="M22" s="3"/>
      <c r="N22" s="12">
        <f>Tabela1[[#This Row],[VALOR TOTAL]]+Tabela1[[#This Row],[VALOR UNITÁRIO PRODUTO 2]]</f>
        <v>20</v>
      </c>
    </row>
    <row r="23" spans="1:14" x14ac:dyDescent="0.25">
      <c r="A23" s="3">
        <v>1031</v>
      </c>
      <c r="B23" s="3">
        <v>1005</v>
      </c>
      <c r="C23" s="3">
        <v>9</v>
      </c>
      <c r="D23" s="3" t="s">
        <v>55</v>
      </c>
      <c r="E23" s="20" t="s">
        <v>56</v>
      </c>
      <c r="F23" s="3">
        <v>1</v>
      </c>
      <c r="G23" s="12" t="s">
        <v>56</v>
      </c>
      <c r="H23" s="22">
        <v>45809</v>
      </c>
      <c r="I23" s="3"/>
      <c r="J23" s="3"/>
      <c r="K23" s="3"/>
      <c r="L23" s="3"/>
      <c r="M23" s="3"/>
      <c r="N23" s="12">
        <f>Tabela1[[#This Row],[VALOR TOTAL]]+Tabela1[[#This Row],[VALOR UNITÁRIO PRODUTO 2]]</f>
        <v>11</v>
      </c>
    </row>
    <row r="24" spans="1:14" x14ac:dyDescent="0.25">
      <c r="A24" s="3">
        <v>1032</v>
      </c>
      <c r="B24" s="3">
        <v>1000</v>
      </c>
      <c r="C24" s="3">
        <v>1</v>
      </c>
      <c r="D24" s="3" t="s">
        <v>37</v>
      </c>
      <c r="E24" s="20" t="s">
        <v>104</v>
      </c>
      <c r="F24" s="3">
        <v>1</v>
      </c>
      <c r="G24" s="12" t="s">
        <v>104</v>
      </c>
      <c r="H24" s="22">
        <v>45809</v>
      </c>
      <c r="I24" s="3"/>
      <c r="J24" s="3"/>
      <c r="K24" s="3"/>
      <c r="L24" s="3"/>
      <c r="M24" s="3"/>
      <c r="N24" s="12">
        <f>Tabela1[[#This Row],[VALOR TOTAL]]+Tabela1[[#This Row],[VALOR UNITÁRIO PRODUTO 2]]</f>
        <v>3</v>
      </c>
    </row>
    <row r="25" spans="1:14" x14ac:dyDescent="0.25">
      <c r="A25" s="3">
        <v>1038</v>
      </c>
      <c r="B25" s="3">
        <v>1005</v>
      </c>
      <c r="C25" s="3">
        <v>4</v>
      </c>
      <c r="D25" s="3" t="s">
        <v>44</v>
      </c>
      <c r="E25" s="20" t="s">
        <v>69</v>
      </c>
      <c r="F25" s="3">
        <v>2</v>
      </c>
      <c r="G25" s="12" t="s">
        <v>103</v>
      </c>
      <c r="H25" s="22">
        <v>45809</v>
      </c>
      <c r="I25" s="3"/>
      <c r="J25" s="3"/>
      <c r="K25" s="3"/>
      <c r="L25" s="3"/>
      <c r="M25" s="3"/>
      <c r="N25" s="12">
        <f>Tabela1[[#This Row],[VALOR TOTAL]]+Tabela1[[#This Row],[VALOR UNITÁRIO PRODUTO 2]]</f>
        <v>40</v>
      </c>
    </row>
    <row r="26" spans="1:14" x14ac:dyDescent="0.25">
      <c r="A26" s="3">
        <v>1047</v>
      </c>
      <c r="B26" s="3">
        <v>1003</v>
      </c>
      <c r="C26" s="3">
        <v>4</v>
      </c>
      <c r="D26" s="3" t="s">
        <v>44</v>
      </c>
      <c r="E26" s="20" t="s">
        <v>69</v>
      </c>
      <c r="F26" s="3">
        <v>1</v>
      </c>
      <c r="G26" s="12" t="s">
        <v>69</v>
      </c>
      <c r="H26" s="22">
        <v>45809</v>
      </c>
      <c r="I26" s="3"/>
      <c r="J26" s="3"/>
      <c r="K26" s="3"/>
      <c r="L26" s="3"/>
      <c r="M26" s="3"/>
      <c r="N26" s="12">
        <f>Tabela1[[#This Row],[VALOR TOTAL]]+Tabela1[[#This Row],[VALOR UNITÁRIO PRODUTO 2]]</f>
        <v>20</v>
      </c>
    </row>
    <row r="27" spans="1:14" x14ac:dyDescent="0.25">
      <c r="A27" s="3">
        <v>1049</v>
      </c>
      <c r="B27" s="3">
        <v>1000</v>
      </c>
      <c r="C27" s="3">
        <v>1</v>
      </c>
      <c r="D27" s="3" t="s">
        <v>37</v>
      </c>
      <c r="E27" s="20" t="s">
        <v>104</v>
      </c>
      <c r="F27" s="3">
        <v>1</v>
      </c>
      <c r="G27" s="12" t="s">
        <v>104</v>
      </c>
      <c r="H27" s="22">
        <v>45809</v>
      </c>
      <c r="I27" s="3"/>
      <c r="J27" s="3"/>
      <c r="K27" s="3"/>
      <c r="L27" s="3"/>
      <c r="M27" s="3"/>
      <c r="N27" s="12">
        <f>Tabela1[[#This Row],[VALOR TOTAL]]+Tabela1[[#This Row],[VALOR UNITÁRIO PRODUTO 2]]</f>
        <v>3</v>
      </c>
    </row>
    <row r="28" spans="1:14" x14ac:dyDescent="0.25">
      <c r="A28" s="3">
        <v>1052</v>
      </c>
      <c r="B28" s="3">
        <v>1002</v>
      </c>
      <c r="C28" s="3">
        <v>8</v>
      </c>
      <c r="D28" s="3" t="s">
        <v>52</v>
      </c>
      <c r="E28" s="20" t="s">
        <v>53</v>
      </c>
      <c r="F28" s="3">
        <v>1</v>
      </c>
      <c r="G28" s="12" t="s">
        <v>53</v>
      </c>
      <c r="H28" s="22">
        <v>45809</v>
      </c>
      <c r="I28" s="3"/>
      <c r="J28" s="3"/>
      <c r="K28" s="3"/>
      <c r="L28" s="3"/>
      <c r="M28" s="3"/>
      <c r="N28" s="12">
        <f>Tabela1[[#This Row],[VALOR TOTAL]]+Tabela1[[#This Row],[VALOR UNITÁRIO PRODUTO 2]]</f>
        <v>14</v>
      </c>
    </row>
    <row r="29" spans="1:14" x14ac:dyDescent="0.25">
      <c r="A29" s="3">
        <v>1054</v>
      </c>
      <c r="B29" s="3">
        <v>1003</v>
      </c>
      <c r="C29" s="3">
        <v>4</v>
      </c>
      <c r="D29" s="3" t="s">
        <v>44</v>
      </c>
      <c r="E29" s="20" t="s">
        <v>69</v>
      </c>
      <c r="F29" s="3">
        <v>1</v>
      </c>
      <c r="G29" s="12" t="s">
        <v>69</v>
      </c>
      <c r="H29" s="22">
        <v>45809</v>
      </c>
      <c r="I29" s="3"/>
      <c r="J29" s="3"/>
      <c r="K29" s="3"/>
      <c r="L29" s="3"/>
      <c r="M29" s="3"/>
      <c r="N29" s="12">
        <f>Tabela1[[#This Row],[VALOR TOTAL]]+Tabela1[[#This Row],[VALOR UNITÁRIO PRODUTO 2]]</f>
        <v>20</v>
      </c>
    </row>
    <row r="30" spans="1:14" x14ac:dyDescent="0.25">
      <c r="A30" s="3">
        <v>1062</v>
      </c>
      <c r="B30" s="3">
        <v>1001</v>
      </c>
      <c r="C30" s="3">
        <v>4</v>
      </c>
      <c r="D30" s="3" t="s">
        <v>44</v>
      </c>
      <c r="E30" s="20" t="s">
        <v>69</v>
      </c>
      <c r="F30" s="3">
        <v>1</v>
      </c>
      <c r="G30" s="12" t="s">
        <v>69</v>
      </c>
      <c r="H30" s="22">
        <v>45809</v>
      </c>
      <c r="I30" s="3"/>
      <c r="J30" s="3"/>
      <c r="K30" s="3"/>
      <c r="L30" s="3"/>
      <c r="M30" s="3"/>
      <c r="N30" s="12">
        <f>Tabela1[[#This Row],[VALOR TOTAL]]+Tabela1[[#This Row],[VALOR UNITÁRIO PRODUTO 2]]</f>
        <v>20</v>
      </c>
    </row>
    <row r="31" spans="1:14" x14ac:dyDescent="0.25">
      <c r="A31" s="3">
        <v>1063</v>
      </c>
      <c r="B31" s="3">
        <v>1005</v>
      </c>
      <c r="C31" s="3">
        <v>8</v>
      </c>
      <c r="D31" s="3" t="s">
        <v>52</v>
      </c>
      <c r="E31" s="20" t="s">
        <v>53</v>
      </c>
      <c r="F31" s="3">
        <v>1</v>
      </c>
      <c r="G31" s="12" t="s">
        <v>53</v>
      </c>
      <c r="H31" s="22">
        <v>45809</v>
      </c>
      <c r="I31" s="3"/>
      <c r="J31" s="3"/>
      <c r="K31" s="3"/>
      <c r="L31" s="3"/>
      <c r="M31" s="3"/>
      <c r="N31" s="12">
        <f>Tabela1[[#This Row],[VALOR TOTAL]]+Tabela1[[#This Row],[VALOR UNITÁRIO PRODUTO 2]]</f>
        <v>14</v>
      </c>
    </row>
    <row r="32" spans="1:14" x14ac:dyDescent="0.25">
      <c r="A32" s="3">
        <v>1065</v>
      </c>
      <c r="B32" s="3">
        <v>1004</v>
      </c>
      <c r="C32" s="3">
        <v>4</v>
      </c>
      <c r="D32" s="3" t="s">
        <v>44</v>
      </c>
      <c r="E32" s="20" t="s">
        <v>69</v>
      </c>
      <c r="F32" s="3">
        <v>2</v>
      </c>
      <c r="G32" s="12" t="s">
        <v>103</v>
      </c>
      <c r="H32" s="22">
        <v>45809</v>
      </c>
      <c r="I32" s="3"/>
      <c r="J32" s="3"/>
      <c r="K32" s="3"/>
      <c r="L32" s="3"/>
      <c r="M32" s="3"/>
      <c r="N32" s="12">
        <f>Tabela1[[#This Row],[VALOR TOTAL]]+Tabela1[[#This Row],[VALOR UNITÁRIO PRODUTO 2]]</f>
        <v>40</v>
      </c>
    </row>
    <row r="33" spans="1:14" x14ac:dyDescent="0.25">
      <c r="A33" s="3">
        <v>1067</v>
      </c>
      <c r="B33" s="3">
        <v>1002</v>
      </c>
      <c r="C33" s="3">
        <v>8</v>
      </c>
      <c r="D33" s="3" t="s">
        <v>52</v>
      </c>
      <c r="E33" s="20" t="s">
        <v>53</v>
      </c>
      <c r="F33" s="3">
        <v>2</v>
      </c>
      <c r="G33" s="12" t="s">
        <v>107</v>
      </c>
      <c r="H33" s="22">
        <v>45809</v>
      </c>
      <c r="I33" s="3"/>
      <c r="J33" s="3"/>
      <c r="K33" s="3"/>
      <c r="L33" s="3"/>
      <c r="M33" s="3"/>
      <c r="N33" s="12">
        <f>Tabela1[[#This Row],[VALOR TOTAL]]+Tabela1[[#This Row],[VALOR UNITÁRIO PRODUTO 2]]</f>
        <v>28</v>
      </c>
    </row>
    <row r="34" spans="1:14" x14ac:dyDescent="0.25">
      <c r="A34" s="3">
        <v>1070</v>
      </c>
      <c r="B34" s="3">
        <v>1004</v>
      </c>
      <c r="C34" s="3">
        <v>3</v>
      </c>
      <c r="D34" s="3" t="s">
        <v>42</v>
      </c>
      <c r="E34" s="20" t="s">
        <v>66</v>
      </c>
      <c r="F34" s="3">
        <v>1</v>
      </c>
      <c r="G34" s="12" t="s">
        <v>66</v>
      </c>
      <c r="H34" s="22">
        <v>45809</v>
      </c>
      <c r="I34" s="3"/>
      <c r="J34" s="3"/>
      <c r="K34" s="3"/>
      <c r="L34" s="3"/>
      <c r="M34" s="3"/>
      <c r="N34" s="12">
        <f>Tabela1[[#This Row],[VALOR TOTAL]]+Tabela1[[#This Row],[VALOR UNITÁRIO PRODUTO 2]]</f>
        <v>5</v>
      </c>
    </row>
    <row r="35" spans="1:14" x14ac:dyDescent="0.25">
      <c r="A35" s="3">
        <v>1071</v>
      </c>
      <c r="B35" s="3">
        <v>1008</v>
      </c>
      <c r="C35" s="3">
        <v>10</v>
      </c>
      <c r="D35" s="3" t="s">
        <v>58</v>
      </c>
      <c r="E35" s="20" t="s">
        <v>59</v>
      </c>
      <c r="F35" s="3">
        <v>1</v>
      </c>
      <c r="G35" s="12" t="s">
        <v>59</v>
      </c>
      <c r="H35" s="22">
        <v>45809</v>
      </c>
      <c r="I35" s="3"/>
      <c r="J35" s="3"/>
      <c r="K35" s="3"/>
      <c r="L35" s="3"/>
      <c r="M35" s="3"/>
      <c r="N35" s="12">
        <f>Tabela1[[#This Row],[VALOR TOTAL]]+Tabela1[[#This Row],[VALOR UNITÁRIO PRODUTO 2]]</f>
        <v>29</v>
      </c>
    </row>
    <row r="36" spans="1:14" x14ac:dyDescent="0.25">
      <c r="A36" s="3">
        <v>1074</v>
      </c>
      <c r="B36" s="3">
        <v>1001</v>
      </c>
      <c r="C36" s="3">
        <v>3</v>
      </c>
      <c r="D36" s="3" t="s">
        <v>42</v>
      </c>
      <c r="E36" s="20" t="s">
        <v>66</v>
      </c>
      <c r="F36" s="3">
        <v>1</v>
      </c>
      <c r="G36" s="12" t="s">
        <v>66</v>
      </c>
      <c r="H36" s="22">
        <v>45809</v>
      </c>
      <c r="I36" s="3"/>
      <c r="J36" s="3"/>
      <c r="K36" s="3"/>
      <c r="L36" s="3"/>
      <c r="M36" s="3"/>
      <c r="N36" s="12">
        <f>Tabela1[[#This Row],[VALOR TOTAL]]+Tabela1[[#This Row],[VALOR UNITÁRIO PRODUTO 2]]</f>
        <v>5</v>
      </c>
    </row>
    <row r="37" spans="1:14" x14ac:dyDescent="0.25">
      <c r="A37" s="3">
        <v>1078</v>
      </c>
      <c r="B37" s="3">
        <v>1002</v>
      </c>
      <c r="C37" s="3">
        <v>3</v>
      </c>
      <c r="D37" s="3" t="s">
        <v>42</v>
      </c>
      <c r="E37" s="20" t="s">
        <v>66</v>
      </c>
      <c r="F37" s="3">
        <v>2</v>
      </c>
      <c r="G37" s="12" t="s">
        <v>87</v>
      </c>
      <c r="H37" s="22">
        <v>45809</v>
      </c>
      <c r="I37" s="3"/>
      <c r="J37" s="3"/>
      <c r="K37" s="3"/>
      <c r="L37" s="3"/>
      <c r="M37" s="3"/>
      <c r="N37" s="12">
        <f>Tabela1[[#This Row],[VALOR TOTAL]]+Tabela1[[#This Row],[VALOR UNITÁRIO PRODUTO 2]]</f>
        <v>10</v>
      </c>
    </row>
    <row r="38" spans="1:14" x14ac:dyDescent="0.25">
      <c r="A38" s="3">
        <v>1080</v>
      </c>
      <c r="B38" s="3">
        <v>1002</v>
      </c>
      <c r="C38" s="3">
        <v>3</v>
      </c>
      <c r="D38" s="3" t="s">
        <v>42</v>
      </c>
      <c r="E38" s="20" t="s">
        <v>66</v>
      </c>
      <c r="F38" s="3">
        <v>2</v>
      </c>
      <c r="G38" s="12" t="s">
        <v>87</v>
      </c>
      <c r="H38" s="22">
        <v>45809</v>
      </c>
      <c r="I38" s="3"/>
      <c r="J38" s="3"/>
      <c r="K38" s="3"/>
      <c r="L38" s="3"/>
      <c r="M38" s="3"/>
      <c r="N38" s="12">
        <f>Tabela1[[#This Row],[VALOR TOTAL]]+Tabela1[[#This Row],[VALOR UNITÁRIO PRODUTO 2]]</f>
        <v>10</v>
      </c>
    </row>
    <row r="39" spans="1:14" x14ac:dyDescent="0.25">
      <c r="A39" s="3">
        <v>1082</v>
      </c>
      <c r="B39" s="3">
        <v>1002</v>
      </c>
      <c r="C39" s="3">
        <v>3</v>
      </c>
      <c r="D39" s="3" t="s">
        <v>42</v>
      </c>
      <c r="E39" s="20" t="s">
        <v>66</v>
      </c>
      <c r="F39" s="3">
        <v>2</v>
      </c>
      <c r="G39" s="12" t="s">
        <v>87</v>
      </c>
      <c r="H39" s="22">
        <v>45809</v>
      </c>
      <c r="I39" s="3"/>
      <c r="J39" s="3"/>
      <c r="K39" s="3"/>
      <c r="L39" s="3"/>
      <c r="M39" s="3"/>
      <c r="N39" s="12">
        <f>Tabela1[[#This Row],[VALOR TOTAL]]+Tabela1[[#This Row],[VALOR UNITÁRIO PRODUTO 2]]</f>
        <v>10</v>
      </c>
    </row>
    <row r="40" spans="1:14" x14ac:dyDescent="0.25">
      <c r="A40" s="3">
        <v>1083</v>
      </c>
      <c r="B40" s="3">
        <v>1001</v>
      </c>
      <c r="C40" s="3">
        <v>1</v>
      </c>
      <c r="D40" s="3" t="s">
        <v>37</v>
      </c>
      <c r="E40" s="20" t="s">
        <v>104</v>
      </c>
      <c r="F40" s="3">
        <v>1</v>
      </c>
      <c r="G40" s="12" t="s">
        <v>104</v>
      </c>
      <c r="H40" s="22">
        <v>45809</v>
      </c>
      <c r="I40" s="3"/>
      <c r="J40" s="3"/>
      <c r="K40" s="3"/>
      <c r="L40" s="3"/>
      <c r="M40" s="3"/>
      <c r="N40" s="12">
        <f>Tabela1[[#This Row],[VALOR TOTAL]]+Tabela1[[#This Row],[VALOR UNITÁRIO PRODUTO 2]]</f>
        <v>3</v>
      </c>
    </row>
    <row r="41" spans="1:14" x14ac:dyDescent="0.25">
      <c r="A41" s="3">
        <v>1085</v>
      </c>
      <c r="B41" s="3">
        <v>1001</v>
      </c>
      <c r="C41" s="3">
        <v>11</v>
      </c>
      <c r="D41" s="3" t="s">
        <v>90</v>
      </c>
      <c r="E41" s="20" t="s">
        <v>69</v>
      </c>
      <c r="F41" s="3">
        <v>1</v>
      </c>
      <c r="G41" s="12" t="s">
        <v>69</v>
      </c>
      <c r="H41" s="22">
        <v>45809</v>
      </c>
      <c r="I41" s="3"/>
      <c r="J41" s="3"/>
      <c r="K41" s="3"/>
      <c r="L41" s="3"/>
      <c r="M41" s="3"/>
      <c r="N41" s="12">
        <f>Tabela1[[#This Row],[VALOR TOTAL]]+Tabela1[[#This Row],[VALOR UNITÁRIO PRODUTO 2]]</f>
        <v>20</v>
      </c>
    </row>
    <row r="42" spans="1:14" x14ac:dyDescent="0.25">
      <c r="A42" s="3">
        <v>1086</v>
      </c>
      <c r="B42" s="3">
        <v>1007</v>
      </c>
      <c r="C42" s="3">
        <v>12</v>
      </c>
      <c r="D42" s="3" t="s">
        <v>94</v>
      </c>
      <c r="E42" s="20" t="s">
        <v>95</v>
      </c>
      <c r="F42" s="3">
        <v>1</v>
      </c>
      <c r="G42" s="12" t="s">
        <v>95</v>
      </c>
      <c r="H42" s="22">
        <v>45809</v>
      </c>
      <c r="I42" s="3">
        <v>11</v>
      </c>
      <c r="J42" s="3" t="s">
        <v>90</v>
      </c>
      <c r="K42" s="3" t="s">
        <v>69</v>
      </c>
      <c r="L42" s="3">
        <v>2</v>
      </c>
      <c r="M42" s="3" t="s">
        <v>103</v>
      </c>
      <c r="N42" s="12">
        <f>Tabela1[[#This Row],[VALOR TOTAL]]+Tabela1[[#This Row],[VALOR UNITÁRIO PRODUTO 2]]</f>
        <v>59.9</v>
      </c>
    </row>
    <row r="43" spans="1:14" x14ac:dyDescent="0.25">
      <c r="A43" s="3">
        <v>1088</v>
      </c>
      <c r="B43" s="3">
        <v>1006</v>
      </c>
      <c r="C43" s="3">
        <v>1</v>
      </c>
      <c r="D43" s="3" t="s">
        <v>37</v>
      </c>
      <c r="E43" s="20" t="s">
        <v>104</v>
      </c>
      <c r="F43" s="3">
        <v>3</v>
      </c>
      <c r="G43" s="12" t="s">
        <v>109</v>
      </c>
      <c r="H43" s="22">
        <v>45809</v>
      </c>
      <c r="I43" s="3"/>
      <c r="J43" s="3"/>
      <c r="K43" s="3"/>
      <c r="L43" s="3"/>
      <c r="M43" s="3"/>
      <c r="N43" s="12">
        <f>Tabela1[[#This Row],[VALOR TOTAL]]+Tabela1[[#This Row],[VALOR UNITÁRIO PRODUTO 2]]</f>
        <v>9</v>
      </c>
    </row>
    <row r="44" spans="1:14" x14ac:dyDescent="0.25">
      <c r="A44" s="3">
        <v>1089</v>
      </c>
      <c r="B44" s="3">
        <v>1002</v>
      </c>
      <c r="C44" s="3">
        <v>12</v>
      </c>
      <c r="D44" s="3" t="s">
        <v>94</v>
      </c>
      <c r="E44" s="20" t="s">
        <v>95</v>
      </c>
      <c r="F44" s="3">
        <v>2</v>
      </c>
      <c r="G44" s="12" t="s">
        <v>110</v>
      </c>
      <c r="H44" s="22">
        <v>45809</v>
      </c>
      <c r="I44" s="3">
        <v>6</v>
      </c>
      <c r="J44" s="3" t="s">
        <v>48</v>
      </c>
      <c r="K44" s="3" t="s">
        <v>49</v>
      </c>
      <c r="L44" s="3">
        <v>2</v>
      </c>
      <c r="M44" s="3" t="s">
        <v>71</v>
      </c>
      <c r="N44" s="12">
        <f>Tabela1[[#This Row],[VALOR TOTAL]]+Tabela1[[#This Row],[VALOR UNITÁRIO PRODUTO 2]]</f>
        <v>639.79999999999995</v>
      </c>
    </row>
    <row r="45" spans="1:14" x14ac:dyDescent="0.25">
      <c r="A45" s="3">
        <v>1090</v>
      </c>
      <c r="B45" s="3">
        <v>1004</v>
      </c>
      <c r="C45" s="3">
        <v>8</v>
      </c>
      <c r="D45" s="3" t="s">
        <v>52</v>
      </c>
      <c r="E45" s="20" t="s">
        <v>53</v>
      </c>
      <c r="F45" s="3">
        <v>1</v>
      </c>
      <c r="G45" s="12" t="s">
        <v>53</v>
      </c>
      <c r="H45" s="22">
        <v>45809</v>
      </c>
      <c r="I45" s="3">
        <v>8</v>
      </c>
      <c r="J45" s="3" t="s">
        <v>52</v>
      </c>
      <c r="K45" s="3" t="s">
        <v>53</v>
      </c>
      <c r="L45" s="3">
        <v>1</v>
      </c>
      <c r="M45" s="3" t="s">
        <v>53</v>
      </c>
      <c r="N45" s="12">
        <f>Tabela1[[#This Row],[VALOR TOTAL]]+Tabela1[[#This Row],[VALOR UNITÁRIO PRODUTO 2]]</f>
        <v>28</v>
      </c>
    </row>
    <row r="46" spans="1:14" x14ac:dyDescent="0.25">
      <c r="A46" s="3">
        <v>1091</v>
      </c>
      <c r="B46" s="3">
        <v>1002</v>
      </c>
      <c r="C46" s="3">
        <v>9</v>
      </c>
      <c r="D46" s="3" t="s">
        <v>55</v>
      </c>
      <c r="E46" s="20" t="s">
        <v>56</v>
      </c>
      <c r="F46" s="3">
        <v>8</v>
      </c>
      <c r="G46" s="12" t="s">
        <v>64</v>
      </c>
      <c r="H46" s="22">
        <v>45809</v>
      </c>
      <c r="I46" s="3"/>
      <c r="J46" s="3"/>
      <c r="K46" s="3"/>
      <c r="L46" s="3"/>
      <c r="M46" s="3"/>
      <c r="N46" s="12">
        <f>Tabela1[[#This Row],[VALOR TOTAL]]+Tabela1[[#This Row],[VALOR UNITÁRIO PRODUTO 2]]</f>
        <v>88</v>
      </c>
    </row>
    <row r="47" spans="1:14" x14ac:dyDescent="0.25">
      <c r="A47" s="3">
        <v>1092</v>
      </c>
      <c r="B47" s="3">
        <v>1008</v>
      </c>
      <c r="C47" s="3">
        <v>10</v>
      </c>
      <c r="D47" s="3" t="s">
        <v>58</v>
      </c>
      <c r="E47" s="20" t="s">
        <v>59</v>
      </c>
      <c r="F47" s="3">
        <v>2</v>
      </c>
      <c r="G47" s="12" t="s">
        <v>106</v>
      </c>
      <c r="H47" s="22">
        <v>45809</v>
      </c>
      <c r="I47" s="3">
        <v>11</v>
      </c>
      <c r="J47" s="3" t="s">
        <v>90</v>
      </c>
      <c r="K47" s="3" t="s">
        <v>69</v>
      </c>
      <c r="L47" s="3">
        <v>1</v>
      </c>
      <c r="M47" s="3" t="s">
        <v>69</v>
      </c>
      <c r="N47" s="12">
        <f>Tabela1[[#This Row],[VALOR TOTAL]]+Tabela1[[#This Row],[VALOR UNITÁRIO PRODUTO 2]]</f>
        <v>78</v>
      </c>
    </row>
    <row r="48" spans="1:14" x14ac:dyDescent="0.25">
      <c r="A48" s="3">
        <v>1093</v>
      </c>
      <c r="B48" s="3">
        <v>1011</v>
      </c>
      <c r="C48" s="3">
        <v>12</v>
      </c>
      <c r="D48" s="3" t="s">
        <v>94</v>
      </c>
      <c r="E48" s="20" t="s">
        <v>95</v>
      </c>
      <c r="F48" s="3">
        <v>2</v>
      </c>
      <c r="G48" s="12" t="s">
        <v>110</v>
      </c>
      <c r="H48" s="22">
        <v>45809</v>
      </c>
      <c r="I48" s="3">
        <v>3</v>
      </c>
      <c r="J48" s="3" t="s">
        <v>42</v>
      </c>
      <c r="K48" s="3" t="s">
        <v>66</v>
      </c>
      <c r="L48" s="3">
        <v>1</v>
      </c>
      <c r="M48" s="3" t="s">
        <v>66</v>
      </c>
      <c r="N48" s="12">
        <f>Tabela1[[#This Row],[VALOR TOTAL]]+Tabela1[[#This Row],[VALOR UNITÁRIO PRODUTO 2]]</f>
        <v>44.8</v>
      </c>
    </row>
    <row r="49" spans="1:14" x14ac:dyDescent="0.25">
      <c r="A49" s="3">
        <v>1094</v>
      </c>
      <c r="B49" s="3">
        <v>1001</v>
      </c>
      <c r="C49" s="3">
        <v>7</v>
      </c>
      <c r="D49" s="3" t="s">
        <v>42</v>
      </c>
      <c r="E49" s="20" t="s">
        <v>66</v>
      </c>
      <c r="F49" s="3">
        <v>1</v>
      </c>
      <c r="G49" s="12" t="s">
        <v>66</v>
      </c>
      <c r="H49" s="22">
        <v>45809</v>
      </c>
      <c r="I49" s="3">
        <v>9</v>
      </c>
      <c r="J49" s="3" t="s">
        <v>55</v>
      </c>
      <c r="K49" s="3" t="s">
        <v>56</v>
      </c>
      <c r="L49" s="3">
        <v>1</v>
      </c>
      <c r="M49" s="3" t="s">
        <v>56</v>
      </c>
      <c r="N49" s="12">
        <f>Tabela1[[#This Row],[VALOR TOTAL]]+Tabela1[[#This Row],[VALOR UNITÁRIO PRODUTO 2]]</f>
        <v>16</v>
      </c>
    </row>
    <row r="50" spans="1:14" x14ac:dyDescent="0.25">
      <c r="A50" s="3">
        <v>1095</v>
      </c>
      <c r="B50" s="3">
        <v>1001</v>
      </c>
      <c r="C50" s="3">
        <v>9</v>
      </c>
      <c r="D50" s="3" t="s">
        <v>55</v>
      </c>
      <c r="E50" s="20" t="s">
        <v>56</v>
      </c>
      <c r="F50" s="3">
        <v>4</v>
      </c>
      <c r="G50" s="12" t="s">
        <v>102</v>
      </c>
      <c r="H50" s="22">
        <v>45809</v>
      </c>
      <c r="I50" s="3">
        <v>1</v>
      </c>
      <c r="J50" s="3" t="s">
        <v>37</v>
      </c>
      <c r="K50" s="3" t="s">
        <v>104</v>
      </c>
      <c r="L50" s="3">
        <v>2</v>
      </c>
      <c r="M50" s="3" t="s">
        <v>105</v>
      </c>
      <c r="N50" s="12">
        <f>Tabela1[[#This Row],[VALOR TOTAL]]+Tabela1[[#This Row],[VALOR UNITÁRIO PRODUTO 2]]</f>
        <v>50</v>
      </c>
    </row>
    <row r="51" spans="1:14" x14ac:dyDescent="0.25">
      <c r="A51" s="3">
        <v>1096</v>
      </c>
      <c r="B51" s="3">
        <v>1001</v>
      </c>
      <c r="C51" s="3">
        <v>3</v>
      </c>
      <c r="D51" s="3" t="s">
        <v>42</v>
      </c>
      <c r="E51" s="20" t="s">
        <v>66</v>
      </c>
      <c r="F51" s="3">
        <v>1</v>
      </c>
      <c r="G51" s="12" t="s">
        <v>66</v>
      </c>
      <c r="H51" s="22">
        <v>45809</v>
      </c>
      <c r="I51" s="3">
        <v>9</v>
      </c>
      <c r="J51" s="3" t="s">
        <v>55</v>
      </c>
      <c r="K51" s="3" t="s">
        <v>56</v>
      </c>
      <c r="L51" s="3">
        <v>1</v>
      </c>
      <c r="M51" s="3"/>
      <c r="N51" s="12">
        <f>Tabela1[[#This Row],[VALOR TOTAL]]+Tabela1[[#This Row],[VALOR UNITÁRIO PRODUTO 2]]</f>
        <v>5</v>
      </c>
    </row>
    <row r="52" spans="1:14" x14ac:dyDescent="0.25">
      <c r="A52" s="3">
        <v>1098</v>
      </c>
      <c r="B52" s="3">
        <v>1007</v>
      </c>
      <c r="C52" s="3">
        <v>9</v>
      </c>
      <c r="D52" s="3" t="s">
        <v>55</v>
      </c>
      <c r="E52" s="20" t="s">
        <v>56</v>
      </c>
      <c r="F52" s="3">
        <v>1</v>
      </c>
      <c r="G52" s="12" t="s">
        <v>56</v>
      </c>
      <c r="H52" s="22">
        <v>45809</v>
      </c>
      <c r="I52" s="3">
        <v>10</v>
      </c>
      <c r="J52" s="3" t="s">
        <v>58</v>
      </c>
      <c r="K52" s="3" t="s">
        <v>59</v>
      </c>
      <c r="L52" s="3">
        <v>1</v>
      </c>
      <c r="M52" s="3"/>
      <c r="N52" s="12">
        <f>Tabela1[[#This Row],[VALOR TOTAL]]+Tabela1[[#This Row],[VALOR UNITÁRIO PRODUTO 2]]</f>
        <v>11</v>
      </c>
    </row>
    <row r="53" spans="1:14" x14ac:dyDescent="0.25">
      <c r="A53" s="3">
        <v>1100</v>
      </c>
      <c r="B53" s="3">
        <v>1009</v>
      </c>
      <c r="C53" s="3">
        <v>11</v>
      </c>
      <c r="D53" s="3" t="s">
        <v>90</v>
      </c>
      <c r="E53" s="20" t="s">
        <v>69</v>
      </c>
      <c r="F53" s="3">
        <v>1</v>
      </c>
      <c r="G53" s="12" t="s">
        <v>69</v>
      </c>
      <c r="H53" s="22">
        <v>45809</v>
      </c>
      <c r="I53" s="3"/>
      <c r="J53" s="3"/>
      <c r="K53" s="3"/>
      <c r="L53" s="3"/>
      <c r="M53" s="3"/>
      <c r="N53" s="12">
        <f>Tabela1[[#This Row],[VALOR TOTAL]]+Tabela1[[#This Row],[VALOR UNITÁRIO PRODUTO 2]]</f>
        <v>20</v>
      </c>
    </row>
    <row r="54" spans="1:14" x14ac:dyDescent="0.25">
      <c r="A54" s="3">
        <v>1101</v>
      </c>
      <c r="B54" s="3">
        <v>1004</v>
      </c>
      <c r="C54" s="3">
        <v>5</v>
      </c>
      <c r="D54" s="3" t="s">
        <v>45</v>
      </c>
      <c r="E54" s="20" t="s">
        <v>46</v>
      </c>
      <c r="F54" s="3">
        <v>3</v>
      </c>
      <c r="G54" s="12" t="s">
        <v>72</v>
      </c>
      <c r="H54" s="22">
        <v>45809</v>
      </c>
      <c r="I54" s="3">
        <v>8</v>
      </c>
      <c r="J54" s="3" t="s">
        <v>52</v>
      </c>
      <c r="K54" s="3" t="s">
        <v>53</v>
      </c>
      <c r="L54" s="3">
        <v>2</v>
      </c>
      <c r="M54" s="3" t="s">
        <v>107</v>
      </c>
      <c r="N54" s="12">
        <f>Tabela1[[#This Row],[VALOR TOTAL]]+Tabela1[[#This Row],[VALOR UNITÁRIO PRODUTO 2]]</f>
        <v>52</v>
      </c>
    </row>
    <row r="55" spans="1:14" x14ac:dyDescent="0.25">
      <c r="A55" s="3">
        <v>1103</v>
      </c>
      <c r="B55" s="3">
        <v>1003</v>
      </c>
      <c r="C55" s="3">
        <v>1</v>
      </c>
      <c r="D55" s="3" t="s">
        <v>37</v>
      </c>
      <c r="E55" s="20" t="s">
        <v>104</v>
      </c>
      <c r="F55" s="3">
        <v>1</v>
      </c>
      <c r="G55" s="12" t="s">
        <v>104</v>
      </c>
      <c r="H55" s="22">
        <v>45810</v>
      </c>
      <c r="I55" s="3">
        <v>6</v>
      </c>
      <c r="J55" s="3" t="s">
        <v>48</v>
      </c>
      <c r="K55" s="3" t="s">
        <v>49</v>
      </c>
      <c r="L55" s="3">
        <v>6</v>
      </c>
      <c r="M55" s="3" t="s">
        <v>116</v>
      </c>
      <c r="N55" s="12">
        <f>Tabela1[[#This Row],[VALOR TOTAL]]+Tabela1[[#This Row],[VALOR UNITÁRIO PRODUTO 2]]</f>
        <v>1803</v>
      </c>
    </row>
    <row r="56" spans="1:14" x14ac:dyDescent="0.25">
      <c r="A56" s="3">
        <v>1104</v>
      </c>
      <c r="B56" s="3">
        <v>1003</v>
      </c>
      <c r="C56" s="3">
        <v>9</v>
      </c>
      <c r="D56" s="3" t="s">
        <v>55</v>
      </c>
      <c r="E56" s="20" t="s">
        <v>56</v>
      </c>
      <c r="F56" s="3">
        <v>1</v>
      </c>
      <c r="G56" s="12" t="s">
        <v>56</v>
      </c>
      <c r="H56" s="22">
        <v>45810</v>
      </c>
      <c r="I56" s="3"/>
      <c r="J56" s="3"/>
      <c r="K56" s="3"/>
      <c r="L56" s="3"/>
      <c r="M56" s="3"/>
      <c r="N56" s="12">
        <f>Tabela1[[#This Row],[VALOR TOTAL]]+Tabela1[[#This Row],[VALOR UNITÁRIO PRODUTO 2]]</f>
        <v>11</v>
      </c>
    </row>
    <row r="57" spans="1:14" x14ac:dyDescent="0.25">
      <c r="A57" s="3">
        <v>1105</v>
      </c>
      <c r="B57" s="3">
        <v>1004</v>
      </c>
      <c r="C57" s="3">
        <v>9</v>
      </c>
      <c r="D57" s="3" t="s">
        <v>55</v>
      </c>
      <c r="E57" s="20" t="s">
        <v>56</v>
      </c>
      <c r="F57" s="3">
        <v>4</v>
      </c>
      <c r="G57" s="12" t="s">
        <v>102</v>
      </c>
      <c r="H57" s="22">
        <v>45810</v>
      </c>
      <c r="I57" s="3">
        <v>4</v>
      </c>
      <c r="J57" s="3" t="s">
        <v>44</v>
      </c>
      <c r="K57" s="3" t="s">
        <v>69</v>
      </c>
      <c r="L57" s="3">
        <v>1</v>
      </c>
      <c r="M57" s="3" t="s">
        <v>69</v>
      </c>
      <c r="N57" s="12">
        <f>Tabela1[[#This Row],[VALOR TOTAL]]+Tabela1[[#This Row],[VALOR UNITÁRIO PRODUTO 2]]</f>
        <v>64</v>
      </c>
    </row>
    <row r="58" spans="1:14" x14ac:dyDescent="0.25">
      <c r="A58" s="3">
        <v>1106</v>
      </c>
      <c r="B58" s="3">
        <v>1000</v>
      </c>
      <c r="C58" s="3">
        <v>5</v>
      </c>
      <c r="D58" s="3" t="s">
        <v>45</v>
      </c>
      <c r="E58" s="20" t="s">
        <v>46</v>
      </c>
      <c r="F58" s="3">
        <v>1</v>
      </c>
      <c r="G58" s="12" t="s">
        <v>46</v>
      </c>
      <c r="H58" s="22">
        <v>45965</v>
      </c>
      <c r="I58" s="3">
        <v>6</v>
      </c>
      <c r="J58" s="3" t="s">
        <v>48</v>
      </c>
      <c r="K58" s="3" t="s">
        <v>49</v>
      </c>
      <c r="L58" s="3">
        <v>1</v>
      </c>
      <c r="M58" s="3" t="s">
        <v>49</v>
      </c>
      <c r="N58" s="12">
        <f>Tabela1[[#This Row],[VALOR TOTAL]]+Tabela1[[#This Row],[VALOR UNITÁRIO PRODUTO 2]]</f>
        <v>308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Config</vt:lpstr>
      <vt:lpstr>CONFIGCLIENTES</vt:lpstr>
      <vt:lpstr>CLIENTES</vt:lpstr>
      <vt:lpstr>PRODUTOS</vt:lpstr>
      <vt:lpstr>VENDAS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EVILY PRISCILA SILVA</dc:creator>
  <cp:keywords/>
  <dc:description/>
  <cp:lastModifiedBy>Geilson Ferreira</cp:lastModifiedBy>
  <cp:revision/>
  <dcterms:created xsi:type="dcterms:W3CDTF">2025-05-22T18:04:08Z</dcterms:created>
  <dcterms:modified xsi:type="dcterms:W3CDTF">2025-11-04T16:47:50Z</dcterms:modified>
  <cp:category/>
  <cp:contentStatus/>
</cp:coreProperties>
</file>